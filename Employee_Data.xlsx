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haikh aasiya\OneDrive\Desktop\week 4\"/>
    </mc:Choice>
  </mc:AlternateContent>
  <xr:revisionPtr revIDLastSave="0" documentId="13_ncr:1_{616AD05F-1147-4C33-8C04-EB330C6F07C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mployee_Data" sheetId="1" r:id="rId1"/>
    <sheet name="Pivot Table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2" i="1"/>
  <c r="P3" i="1"/>
  <c r="P4" i="1"/>
  <c r="P5" i="1"/>
  <c r="P7" i="1"/>
  <c r="P9" i="1"/>
  <c r="P10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2" i="1"/>
  <c r="O3" i="1"/>
  <c r="O4" i="1"/>
  <c r="O5" i="1"/>
  <c r="O7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2" i="1"/>
  <c r="N3" i="1"/>
  <c r="N4" i="1"/>
  <c r="N5" i="1"/>
  <c r="N7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O26" i="1" s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O6" i="1" l="1"/>
  <c r="N6" i="1"/>
  <c r="P6" i="1" s="1"/>
  <c r="N26" i="1"/>
  <c r="P26" i="1" s="1"/>
  <c r="N11" i="1"/>
  <c r="O11" i="1"/>
  <c r="N8" i="1"/>
  <c r="O8" i="1"/>
  <c r="Q6" i="1" l="1"/>
  <c r="P11" i="1"/>
  <c r="P8" i="1"/>
</calcChain>
</file>

<file path=xl/sharedStrings.xml><?xml version="1.0" encoding="utf-8"?>
<sst xmlns="http://schemas.openxmlformats.org/spreadsheetml/2006/main" count="252" uniqueCount="139">
  <si>
    <t>Employee_ID</t>
  </si>
  <si>
    <t>Name</t>
  </si>
  <si>
    <t>Department</t>
  </si>
  <si>
    <t>Role</t>
  </si>
  <si>
    <t>Experience_Years</t>
  </si>
  <si>
    <t>Base_Salary</t>
  </si>
  <si>
    <t>Performance_Rating</t>
  </si>
  <si>
    <t>Targets_Assigned</t>
  </si>
  <si>
    <t>Targets_Achieved</t>
  </si>
  <si>
    <t>Leaves_Taken</t>
  </si>
  <si>
    <t>Working_Days</t>
  </si>
  <si>
    <t>E001</t>
  </si>
  <si>
    <t>Employee_1</t>
  </si>
  <si>
    <t>HR</t>
  </si>
  <si>
    <t>Analyst</t>
  </si>
  <si>
    <t>E002</t>
  </si>
  <si>
    <t>Employee_2</t>
  </si>
  <si>
    <t>Sales</t>
  </si>
  <si>
    <t>Manager</t>
  </si>
  <si>
    <t>E003</t>
  </si>
  <si>
    <t>Employee_3</t>
  </si>
  <si>
    <t>Finance</t>
  </si>
  <si>
    <t>Engineer</t>
  </si>
  <si>
    <t>E004</t>
  </si>
  <si>
    <t>Employee_4</t>
  </si>
  <si>
    <t>Operations</t>
  </si>
  <si>
    <t>Associate</t>
  </si>
  <si>
    <t>E005</t>
  </si>
  <si>
    <t>Employee_5</t>
  </si>
  <si>
    <t>IT</t>
  </si>
  <si>
    <t>Executive</t>
  </si>
  <si>
    <t>E006</t>
  </si>
  <si>
    <t>Employee_6</t>
  </si>
  <si>
    <t>E007</t>
  </si>
  <si>
    <t>Employee_7</t>
  </si>
  <si>
    <t>E008</t>
  </si>
  <si>
    <t>Employee_8</t>
  </si>
  <si>
    <t>E009</t>
  </si>
  <si>
    <t>Employee_9</t>
  </si>
  <si>
    <t>E010</t>
  </si>
  <si>
    <t>Employee_10</t>
  </si>
  <si>
    <t>E011</t>
  </si>
  <si>
    <t>Employee_11</t>
  </si>
  <si>
    <t>E012</t>
  </si>
  <si>
    <t>Employee_12</t>
  </si>
  <si>
    <t>E013</t>
  </si>
  <si>
    <t>Employee_13</t>
  </si>
  <si>
    <t>E014</t>
  </si>
  <si>
    <t>Employee_14</t>
  </si>
  <si>
    <t>E015</t>
  </si>
  <si>
    <t>Employee_15</t>
  </si>
  <si>
    <t>E016</t>
  </si>
  <si>
    <t>Employee_16</t>
  </si>
  <si>
    <t>E017</t>
  </si>
  <si>
    <t>Employee_17</t>
  </si>
  <si>
    <t>E018</t>
  </si>
  <si>
    <t>Employee_18</t>
  </si>
  <si>
    <t>E019</t>
  </si>
  <si>
    <t>Employee_19</t>
  </si>
  <si>
    <t>E020</t>
  </si>
  <si>
    <t>Employee_20</t>
  </si>
  <si>
    <t>E021</t>
  </si>
  <si>
    <t>Employee_21</t>
  </si>
  <si>
    <t>E022</t>
  </si>
  <si>
    <t>Employee_22</t>
  </si>
  <si>
    <t>E023</t>
  </si>
  <si>
    <t>Employee_23</t>
  </si>
  <si>
    <t>E024</t>
  </si>
  <si>
    <t>Employee_24</t>
  </si>
  <si>
    <t>E025</t>
  </si>
  <si>
    <t>Employee_25</t>
  </si>
  <si>
    <t>E026</t>
  </si>
  <si>
    <t>Employee_26</t>
  </si>
  <si>
    <t>E027</t>
  </si>
  <si>
    <t>Employee_27</t>
  </si>
  <si>
    <t>E028</t>
  </si>
  <si>
    <t>Employee_28</t>
  </si>
  <si>
    <t>E029</t>
  </si>
  <si>
    <t>Employee_29</t>
  </si>
  <si>
    <t>E030</t>
  </si>
  <si>
    <t>Employee_30</t>
  </si>
  <si>
    <t>E031</t>
  </si>
  <si>
    <t>Employee_31</t>
  </si>
  <si>
    <t>E032</t>
  </si>
  <si>
    <t>Employee_32</t>
  </si>
  <si>
    <t>E033</t>
  </si>
  <si>
    <t>Employee_33</t>
  </si>
  <si>
    <t>E034</t>
  </si>
  <si>
    <t>Employee_34</t>
  </si>
  <si>
    <t>E035</t>
  </si>
  <si>
    <t>Employee_35</t>
  </si>
  <si>
    <t>E036</t>
  </si>
  <si>
    <t>Employee_36</t>
  </si>
  <si>
    <t>E037</t>
  </si>
  <si>
    <t>Employee_37</t>
  </si>
  <si>
    <t>E038</t>
  </si>
  <si>
    <t>Employee_38</t>
  </si>
  <si>
    <t>E039</t>
  </si>
  <si>
    <t>Employee_39</t>
  </si>
  <si>
    <t>E040</t>
  </si>
  <si>
    <t>Employee_40</t>
  </si>
  <si>
    <t>E041</t>
  </si>
  <si>
    <t>Employee_41</t>
  </si>
  <si>
    <t>E042</t>
  </si>
  <si>
    <t>Employee_42</t>
  </si>
  <si>
    <t>E043</t>
  </si>
  <si>
    <t>Employee_43</t>
  </si>
  <si>
    <t>E044</t>
  </si>
  <si>
    <t>Employee_44</t>
  </si>
  <si>
    <t>E045</t>
  </si>
  <si>
    <t>Employee_45</t>
  </si>
  <si>
    <t>E046</t>
  </si>
  <si>
    <t>Employee_46</t>
  </si>
  <si>
    <t>E047</t>
  </si>
  <si>
    <t>Employee_47</t>
  </si>
  <si>
    <t>E048</t>
  </si>
  <si>
    <t>Employee_48</t>
  </si>
  <si>
    <t>E049</t>
  </si>
  <si>
    <t>Employee_49</t>
  </si>
  <si>
    <t>E050</t>
  </si>
  <si>
    <t>Employee_50</t>
  </si>
  <si>
    <t>Bonus</t>
  </si>
  <si>
    <t>Incentive</t>
  </si>
  <si>
    <t>Final Salary</t>
  </si>
  <si>
    <t>Reward Status</t>
  </si>
  <si>
    <t>Attendance %</t>
  </si>
  <si>
    <t>Performance %</t>
  </si>
  <si>
    <t>Grand Total</t>
  </si>
  <si>
    <t>Average of Performance %</t>
  </si>
  <si>
    <t>Average of Final Salary</t>
  </si>
  <si>
    <t>Departments</t>
  </si>
  <si>
    <t>Bonus Eligible</t>
  </si>
  <si>
    <t>No Reward</t>
  </si>
  <si>
    <t>Top Performer</t>
  </si>
  <si>
    <t>Count of Employee_ID</t>
  </si>
  <si>
    <t>Reward</t>
  </si>
  <si>
    <t>Sum of Bonus</t>
  </si>
  <si>
    <t>Average of Attendance %</t>
  </si>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</sst>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0" fontId="2" fillId="0" borderId="0" xfId="0" applyNumberFormat="1" applyFont="1"/>
    <xf numFmtId="10" fontId="0" fillId="0" borderId="0" xfId="0" applyNumberFormat="1"/>
    <xf numFmtId="9" fontId="2" fillId="0" borderId="0" xfId="1" applyNumberFormat="1" applyFont="1"/>
    <xf numFmtId="9" fontId="0" fillId="0" borderId="0" xfId="1" applyNumberFormat="1" applyFon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1" xfId="0" applyBorder="1" applyAlignment="1">
      <alignment horizontal="left"/>
    </xf>
    <xf numFmtId="9" fontId="0" fillId="0" borderId="1" xfId="0" applyNumberFormat="1" applyBorder="1"/>
    <xf numFmtId="0" fontId="0" fillId="0" borderId="1" xfId="0" applyBorder="1"/>
    <xf numFmtId="0" fontId="0" fillId="0" borderId="1" xfId="0" pivotButton="1" applyBorder="1"/>
    <xf numFmtId="10" fontId="0" fillId="0" borderId="1" xfId="0" applyNumberFormat="1" applyBorder="1"/>
  </cellXfs>
  <cellStyles count="2">
    <cellStyle name="Comma" xfId="1" builtinId="3"/>
    <cellStyle name="Normal" xfId="0" builtinId="0"/>
  </cellStyles>
  <dxfs count="34">
    <dxf>
      <fill>
        <patternFill>
          <fgColor theme="0"/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9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h aasiya" refreshedDate="46051.541905787039" createdVersion="8" refreshedVersion="8" minRefreshableVersion="3" recordCount="50" xr:uid="{A2D48A9F-983B-4733-8D0C-20912C463B7F}">
  <cacheSource type="worksheet">
    <worksheetSource ref="A1:Q51" sheet="Employee_Data"/>
  </cacheSource>
  <cacheFields count="17">
    <cacheField name="Employee_ID" numFmtId="0">
      <sharedItems count="50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</sharedItems>
    </cacheField>
    <cacheField name="Name" numFmtId="0">
      <sharedItems count="50">
        <s v="Employee_1"/>
        <s v="Employee_2"/>
        <s v="Employee_3"/>
        <s v="Employee_4"/>
        <s v="Employee_5"/>
        <s v="Employee_6"/>
        <s v="Employee_7"/>
        <s v="Employee_8"/>
        <s v="Employee_9"/>
        <s v="Employee_10"/>
        <s v="Employee_11"/>
        <s v="Employee_12"/>
        <s v="Employee_13"/>
        <s v="Employee_14"/>
        <s v="Employee_15"/>
        <s v="Employee_16"/>
        <s v="Employee_17"/>
        <s v="Employee_18"/>
        <s v="Employee_19"/>
        <s v="Employee_20"/>
        <s v="Employee_21"/>
        <s v="Employee_22"/>
        <s v="Employee_23"/>
        <s v="Employee_24"/>
        <s v="Employee_25"/>
        <s v="Employee_26"/>
        <s v="Employee_27"/>
        <s v="Employee_28"/>
        <s v="Employee_29"/>
        <s v="Employee_30"/>
        <s v="Employee_31"/>
        <s v="Employee_32"/>
        <s v="Employee_33"/>
        <s v="Employee_34"/>
        <s v="Employee_35"/>
        <s v="Employee_36"/>
        <s v="Employee_37"/>
        <s v="Employee_38"/>
        <s v="Employee_39"/>
        <s v="Employee_40"/>
        <s v="Employee_41"/>
        <s v="Employee_42"/>
        <s v="Employee_43"/>
        <s v="Employee_44"/>
        <s v="Employee_45"/>
        <s v="Employee_46"/>
        <s v="Employee_47"/>
        <s v="Employee_48"/>
        <s v="Employee_49"/>
        <s v="Employee_50"/>
      </sharedItems>
    </cacheField>
    <cacheField name="Department" numFmtId="0">
      <sharedItems count="5">
        <s v="HR"/>
        <s v="Sales"/>
        <s v="Finance"/>
        <s v="Operations"/>
        <s v="IT"/>
      </sharedItems>
    </cacheField>
    <cacheField name="Role" numFmtId="0">
      <sharedItems/>
    </cacheField>
    <cacheField name="Experience_Years" numFmtId="0">
      <sharedItems containsSemiMixedTypes="0" containsString="0" containsNumber="1" containsInteger="1" minValue="1" maxValue="10"/>
    </cacheField>
    <cacheField name="Base_Salary" numFmtId="0">
      <sharedItems containsSemiMixedTypes="0" containsString="0" containsNumber="1" containsInteger="1" minValue="25000" maxValue="70000"/>
    </cacheField>
    <cacheField name="Performance_Rating" numFmtId="0">
      <sharedItems containsSemiMixedTypes="0" containsString="0" containsNumber="1" containsInteger="1" minValue="1" maxValue="5"/>
    </cacheField>
    <cacheField name="Targets_Assigned" numFmtId="0">
      <sharedItems containsSemiMixedTypes="0" containsString="0" containsNumber="1" containsInteger="1" minValue="100" maxValue="100"/>
    </cacheField>
    <cacheField name="Targets_Achieved" numFmtId="0">
      <sharedItems containsSemiMixedTypes="0" containsString="0" containsNumber="1" containsInteger="1" minValue="40" maxValue="100"/>
    </cacheField>
    <cacheField name="Leaves_Taken" numFmtId="0">
      <sharedItems containsSemiMixedTypes="0" containsString="0" containsNumber="1" containsInteger="1" minValue="0" maxValue="11"/>
    </cacheField>
    <cacheField name="Working_Days" numFmtId="0">
      <sharedItems containsSemiMixedTypes="0" containsString="0" containsNumber="1" containsInteger="1" minValue="22" maxValue="22"/>
    </cacheField>
    <cacheField name="Performance %" numFmtId="9">
      <sharedItems containsSemiMixedTypes="0" containsString="0" containsNumber="1" minValue="0.4" maxValue="1"/>
    </cacheField>
    <cacheField name="Attendance %" numFmtId="10">
      <sharedItems containsSemiMixedTypes="0" containsString="0" containsNumber="1" minValue="0.5" maxValue="1" count="12">
        <n v="0.95454545454545459"/>
        <n v="0.90909090909090906"/>
        <n v="0.86363636363636365"/>
        <n v="0.81818181818181823"/>
        <n v="0.77272727272727271"/>
        <n v="0.72727272727272729"/>
        <n v="0.68181818181818177"/>
        <n v="0.63636363636363635"/>
        <n v="0.59090909090909094"/>
        <n v="0.54545454545454541"/>
        <n v="0.5"/>
        <n v="1"/>
      </sharedItems>
    </cacheField>
    <cacheField name="Bonus" numFmtId="0">
      <sharedItems containsSemiMixedTypes="0" containsString="0" containsNumber="1" containsInteger="1" minValue="0" maxValue="14000"/>
    </cacheField>
    <cacheField name="Incentive" numFmtId="0">
      <sharedItems containsSemiMixedTypes="0" containsString="0" containsNumber="1" containsInteger="1" minValue="0" maxValue="3000"/>
    </cacheField>
    <cacheField name="Final Salary" numFmtId="0">
      <sharedItems containsSemiMixedTypes="0" containsString="0" containsNumber="1" containsInteger="1" minValue="25000" maxValue="84000"/>
    </cacheField>
    <cacheField name="Reward Status" numFmtId="0">
      <sharedItems count="3">
        <s v="Bonus Eligible"/>
        <s v="No Reward"/>
        <s v="Top Perfor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s v="Analyst"/>
    <n v="2"/>
    <n v="30000"/>
    <n v="2"/>
    <n v="100"/>
    <n v="61"/>
    <n v="1"/>
    <n v="22"/>
    <n v="0.61"/>
    <x v="0"/>
    <n v="1500"/>
    <n v="0"/>
    <n v="31500"/>
    <x v="0"/>
  </r>
  <r>
    <x v="1"/>
    <x v="1"/>
    <x v="1"/>
    <s v="Manager"/>
    <n v="3"/>
    <n v="35000"/>
    <n v="3"/>
    <n v="100"/>
    <n v="62"/>
    <n v="2"/>
    <n v="22"/>
    <n v="0.62"/>
    <x v="1"/>
    <n v="1750"/>
    <n v="0"/>
    <n v="36750"/>
    <x v="0"/>
  </r>
  <r>
    <x v="2"/>
    <x v="2"/>
    <x v="2"/>
    <s v="Engineer"/>
    <n v="4"/>
    <n v="40000"/>
    <n v="4"/>
    <n v="100"/>
    <n v="63"/>
    <n v="3"/>
    <n v="22"/>
    <n v="0.63"/>
    <x v="2"/>
    <n v="2000"/>
    <n v="0"/>
    <n v="42000"/>
    <x v="0"/>
  </r>
  <r>
    <x v="3"/>
    <x v="3"/>
    <x v="3"/>
    <s v="Associate"/>
    <n v="5"/>
    <n v="45000"/>
    <n v="5"/>
    <n v="100"/>
    <n v="64"/>
    <n v="4"/>
    <n v="22"/>
    <n v="0.64"/>
    <x v="3"/>
    <n v="2250"/>
    <n v="0"/>
    <n v="47250"/>
    <x v="0"/>
  </r>
  <r>
    <x v="4"/>
    <x v="4"/>
    <x v="4"/>
    <s v="Executive"/>
    <n v="6"/>
    <n v="50000"/>
    <n v="1"/>
    <n v="100"/>
    <n v="65"/>
    <n v="5"/>
    <n v="22"/>
    <n v="0.65"/>
    <x v="4"/>
    <n v="2500"/>
    <n v="0"/>
    <n v="52500"/>
    <x v="0"/>
  </r>
  <r>
    <x v="5"/>
    <x v="5"/>
    <x v="0"/>
    <s v="Analyst"/>
    <n v="7"/>
    <n v="55000"/>
    <n v="2"/>
    <n v="100"/>
    <n v="66"/>
    <n v="6"/>
    <n v="22"/>
    <n v="0.66"/>
    <x v="5"/>
    <n v="2750"/>
    <n v="0"/>
    <n v="57750"/>
    <x v="0"/>
  </r>
  <r>
    <x v="6"/>
    <x v="6"/>
    <x v="1"/>
    <s v="Manager"/>
    <n v="8"/>
    <n v="60000"/>
    <n v="3"/>
    <n v="100"/>
    <n v="40"/>
    <n v="7"/>
    <n v="22"/>
    <n v="0.4"/>
    <x v="6"/>
    <n v="0"/>
    <n v="0"/>
    <n v="60000"/>
    <x v="1"/>
  </r>
  <r>
    <x v="7"/>
    <x v="7"/>
    <x v="2"/>
    <s v="Engineer"/>
    <n v="9"/>
    <n v="65000"/>
    <n v="4"/>
    <n v="100"/>
    <n v="68"/>
    <n v="8"/>
    <n v="22"/>
    <n v="0.68"/>
    <x v="7"/>
    <n v="3250"/>
    <n v="0"/>
    <n v="68250"/>
    <x v="0"/>
  </r>
  <r>
    <x v="8"/>
    <x v="8"/>
    <x v="3"/>
    <s v="Associate"/>
    <n v="10"/>
    <n v="70000"/>
    <n v="5"/>
    <n v="100"/>
    <n v="69"/>
    <n v="9"/>
    <n v="22"/>
    <n v="0.69"/>
    <x v="8"/>
    <n v="3500"/>
    <n v="0"/>
    <n v="73500"/>
    <x v="0"/>
  </r>
  <r>
    <x v="9"/>
    <x v="9"/>
    <x v="4"/>
    <s v="Executive"/>
    <n v="1"/>
    <n v="25000"/>
    <n v="1"/>
    <n v="100"/>
    <n v="50"/>
    <n v="10"/>
    <n v="22"/>
    <n v="0.5"/>
    <x v="9"/>
    <n v="0"/>
    <n v="0"/>
    <n v="25000"/>
    <x v="1"/>
  </r>
  <r>
    <x v="10"/>
    <x v="10"/>
    <x v="0"/>
    <s v="Analyst"/>
    <n v="2"/>
    <n v="30000"/>
    <n v="2"/>
    <n v="100"/>
    <n v="71"/>
    <n v="11"/>
    <n v="22"/>
    <n v="0.71"/>
    <x v="10"/>
    <n v="1500"/>
    <n v="0"/>
    <n v="31500"/>
    <x v="0"/>
  </r>
  <r>
    <x v="11"/>
    <x v="11"/>
    <x v="1"/>
    <s v="Manager"/>
    <n v="3"/>
    <n v="35000"/>
    <n v="3"/>
    <n v="100"/>
    <n v="72"/>
    <n v="0"/>
    <n v="22"/>
    <n v="0.72"/>
    <x v="11"/>
    <n v="1750"/>
    <n v="0"/>
    <n v="36750"/>
    <x v="0"/>
  </r>
  <r>
    <x v="12"/>
    <x v="12"/>
    <x v="2"/>
    <s v="Engineer"/>
    <n v="4"/>
    <n v="40000"/>
    <n v="4"/>
    <n v="100"/>
    <n v="73"/>
    <n v="1"/>
    <n v="22"/>
    <n v="0.73"/>
    <x v="0"/>
    <n v="2000"/>
    <n v="0"/>
    <n v="42000"/>
    <x v="0"/>
  </r>
  <r>
    <x v="13"/>
    <x v="13"/>
    <x v="3"/>
    <s v="Associate"/>
    <n v="5"/>
    <n v="45000"/>
    <n v="5"/>
    <n v="100"/>
    <n v="74"/>
    <n v="2"/>
    <n v="22"/>
    <n v="0.74"/>
    <x v="1"/>
    <n v="2250"/>
    <n v="0"/>
    <n v="47250"/>
    <x v="0"/>
  </r>
  <r>
    <x v="14"/>
    <x v="14"/>
    <x v="4"/>
    <s v="Executive"/>
    <n v="6"/>
    <n v="50000"/>
    <n v="1"/>
    <n v="100"/>
    <n v="75"/>
    <n v="3"/>
    <n v="22"/>
    <n v="0.75"/>
    <x v="2"/>
    <n v="5000"/>
    <n v="0"/>
    <n v="55000"/>
    <x v="0"/>
  </r>
  <r>
    <x v="15"/>
    <x v="15"/>
    <x v="0"/>
    <s v="Analyst"/>
    <n v="7"/>
    <n v="55000"/>
    <n v="2"/>
    <n v="100"/>
    <n v="76"/>
    <n v="4"/>
    <n v="22"/>
    <n v="0.76"/>
    <x v="3"/>
    <n v="5500"/>
    <n v="0"/>
    <n v="60500"/>
    <x v="0"/>
  </r>
  <r>
    <x v="16"/>
    <x v="16"/>
    <x v="1"/>
    <s v="Manager"/>
    <n v="8"/>
    <n v="60000"/>
    <n v="3"/>
    <n v="100"/>
    <n v="77"/>
    <n v="5"/>
    <n v="22"/>
    <n v="0.77"/>
    <x v="4"/>
    <n v="6000"/>
    <n v="0"/>
    <n v="66000"/>
    <x v="0"/>
  </r>
  <r>
    <x v="17"/>
    <x v="17"/>
    <x v="2"/>
    <s v="Engineer"/>
    <n v="9"/>
    <n v="65000"/>
    <n v="4"/>
    <n v="100"/>
    <n v="78"/>
    <n v="6"/>
    <n v="22"/>
    <n v="0.78"/>
    <x v="5"/>
    <n v="6500"/>
    <n v="0"/>
    <n v="71500"/>
    <x v="0"/>
  </r>
  <r>
    <x v="18"/>
    <x v="18"/>
    <x v="3"/>
    <s v="Associate"/>
    <n v="10"/>
    <n v="70000"/>
    <n v="5"/>
    <n v="100"/>
    <n v="79"/>
    <n v="7"/>
    <n v="22"/>
    <n v="0.79"/>
    <x v="6"/>
    <n v="7000"/>
    <n v="0"/>
    <n v="77000"/>
    <x v="0"/>
  </r>
  <r>
    <x v="19"/>
    <x v="19"/>
    <x v="4"/>
    <s v="Executive"/>
    <n v="1"/>
    <n v="25000"/>
    <n v="1"/>
    <n v="100"/>
    <n v="80"/>
    <n v="8"/>
    <n v="22"/>
    <n v="0.8"/>
    <x v="7"/>
    <n v="2500"/>
    <n v="0"/>
    <n v="27500"/>
    <x v="0"/>
  </r>
  <r>
    <x v="20"/>
    <x v="20"/>
    <x v="0"/>
    <s v="Analyst"/>
    <n v="2"/>
    <n v="30000"/>
    <n v="2"/>
    <n v="100"/>
    <n v="81"/>
    <n v="9"/>
    <n v="22"/>
    <n v="0.81"/>
    <x v="8"/>
    <n v="3000"/>
    <n v="0"/>
    <n v="33000"/>
    <x v="0"/>
  </r>
  <r>
    <x v="21"/>
    <x v="21"/>
    <x v="1"/>
    <s v="Manager"/>
    <n v="3"/>
    <n v="35000"/>
    <n v="3"/>
    <n v="100"/>
    <n v="82"/>
    <n v="10"/>
    <n v="22"/>
    <n v="0.82"/>
    <x v="9"/>
    <n v="3500"/>
    <n v="0"/>
    <n v="38500"/>
    <x v="0"/>
  </r>
  <r>
    <x v="22"/>
    <x v="22"/>
    <x v="2"/>
    <s v="Engineer"/>
    <n v="4"/>
    <n v="40000"/>
    <n v="4"/>
    <n v="100"/>
    <n v="83"/>
    <n v="11"/>
    <n v="22"/>
    <n v="0.83"/>
    <x v="10"/>
    <n v="4000"/>
    <n v="0"/>
    <n v="44000"/>
    <x v="0"/>
  </r>
  <r>
    <x v="23"/>
    <x v="23"/>
    <x v="3"/>
    <s v="Associate"/>
    <n v="5"/>
    <n v="45000"/>
    <n v="5"/>
    <n v="100"/>
    <n v="84"/>
    <n v="0"/>
    <n v="22"/>
    <n v="0.84"/>
    <x v="11"/>
    <n v="4500"/>
    <n v="0"/>
    <n v="49500"/>
    <x v="0"/>
  </r>
  <r>
    <x v="24"/>
    <x v="24"/>
    <x v="4"/>
    <s v="Executive"/>
    <n v="6"/>
    <n v="50000"/>
    <n v="1"/>
    <n v="100"/>
    <n v="55"/>
    <n v="1"/>
    <n v="22"/>
    <n v="0.55000000000000004"/>
    <x v="0"/>
    <n v="0"/>
    <n v="0"/>
    <n v="50000"/>
    <x v="1"/>
  </r>
  <r>
    <x v="25"/>
    <x v="25"/>
    <x v="0"/>
    <s v="Analyst"/>
    <n v="7"/>
    <n v="55000"/>
    <n v="2"/>
    <n v="100"/>
    <n v="86"/>
    <n v="2"/>
    <n v="22"/>
    <n v="0.86"/>
    <x v="1"/>
    <n v="5500"/>
    <n v="3000"/>
    <n v="63500"/>
    <x v="0"/>
  </r>
  <r>
    <x v="26"/>
    <x v="26"/>
    <x v="1"/>
    <s v="Manager"/>
    <n v="8"/>
    <n v="60000"/>
    <n v="3"/>
    <n v="100"/>
    <n v="87"/>
    <n v="3"/>
    <n v="22"/>
    <n v="0.87"/>
    <x v="2"/>
    <n v="6000"/>
    <n v="0"/>
    <n v="66000"/>
    <x v="0"/>
  </r>
  <r>
    <x v="27"/>
    <x v="27"/>
    <x v="2"/>
    <s v="Engineer"/>
    <n v="9"/>
    <n v="65000"/>
    <n v="4"/>
    <n v="100"/>
    <n v="88"/>
    <n v="4"/>
    <n v="22"/>
    <n v="0.88"/>
    <x v="3"/>
    <n v="6500"/>
    <n v="0"/>
    <n v="71500"/>
    <x v="0"/>
  </r>
  <r>
    <x v="28"/>
    <x v="28"/>
    <x v="3"/>
    <s v="Associate"/>
    <n v="10"/>
    <n v="70000"/>
    <n v="5"/>
    <n v="100"/>
    <n v="89"/>
    <n v="5"/>
    <n v="22"/>
    <n v="0.89"/>
    <x v="4"/>
    <n v="7000"/>
    <n v="0"/>
    <n v="77000"/>
    <x v="0"/>
  </r>
  <r>
    <x v="29"/>
    <x v="29"/>
    <x v="4"/>
    <s v="Executive"/>
    <n v="1"/>
    <n v="25000"/>
    <n v="1"/>
    <n v="100"/>
    <n v="90"/>
    <n v="6"/>
    <n v="22"/>
    <n v="0.9"/>
    <x v="5"/>
    <n v="5000"/>
    <n v="0"/>
    <n v="30000"/>
    <x v="2"/>
  </r>
  <r>
    <x v="30"/>
    <x v="30"/>
    <x v="0"/>
    <s v="Analyst"/>
    <n v="2"/>
    <n v="30000"/>
    <n v="2"/>
    <n v="100"/>
    <n v="91"/>
    <n v="7"/>
    <n v="22"/>
    <n v="0.91"/>
    <x v="6"/>
    <n v="6000"/>
    <n v="0"/>
    <n v="36000"/>
    <x v="2"/>
  </r>
  <r>
    <x v="31"/>
    <x v="31"/>
    <x v="1"/>
    <s v="Manager"/>
    <n v="3"/>
    <n v="35000"/>
    <n v="3"/>
    <n v="100"/>
    <n v="92"/>
    <n v="8"/>
    <n v="22"/>
    <n v="0.92"/>
    <x v="7"/>
    <n v="7000"/>
    <n v="0"/>
    <n v="42000"/>
    <x v="2"/>
  </r>
  <r>
    <x v="32"/>
    <x v="32"/>
    <x v="2"/>
    <s v="Engineer"/>
    <n v="4"/>
    <n v="40000"/>
    <n v="4"/>
    <n v="100"/>
    <n v="93"/>
    <n v="9"/>
    <n v="22"/>
    <n v="0.93"/>
    <x v="8"/>
    <n v="8000"/>
    <n v="0"/>
    <n v="48000"/>
    <x v="2"/>
  </r>
  <r>
    <x v="33"/>
    <x v="33"/>
    <x v="3"/>
    <s v="Associate"/>
    <n v="5"/>
    <n v="45000"/>
    <n v="5"/>
    <n v="100"/>
    <n v="94"/>
    <n v="10"/>
    <n v="22"/>
    <n v="0.94"/>
    <x v="9"/>
    <n v="9000"/>
    <n v="0"/>
    <n v="54000"/>
    <x v="2"/>
  </r>
  <r>
    <x v="34"/>
    <x v="34"/>
    <x v="4"/>
    <s v="Executive"/>
    <n v="6"/>
    <n v="50000"/>
    <n v="1"/>
    <n v="100"/>
    <n v="95"/>
    <n v="11"/>
    <n v="22"/>
    <n v="0.95"/>
    <x v="10"/>
    <n v="10000"/>
    <n v="0"/>
    <n v="60000"/>
    <x v="2"/>
  </r>
  <r>
    <x v="35"/>
    <x v="35"/>
    <x v="0"/>
    <s v="Analyst"/>
    <n v="7"/>
    <n v="55000"/>
    <n v="2"/>
    <n v="100"/>
    <n v="96"/>
    <n v="0"/>
    <n v="22"/>
    <n v="0.96"/>
    <x v="11"/>
    <n v="11000"/>
    <n v="3000"/>
    <n v="69000"/>
    <x v="2"/>
  </r>
  <r>
    <x v="36"/>
    <x v="36"/>
    <x v="1"/>
    <s v="Manager"/>
    <n v="8"/>
    <n v="60000"/>
    <n v="3"/>
    <n v="100"/>
    <n v="97"/>
    <n v="1"/>
    <n v="22"/>
    <n v="0.97"/>
    <x v="0"/>
    <n v="12000"/>
    <n v="3000"/>
    <n v="75000"/>
    <x v="2"/>
  </r>
  <r>
    <x v="37"/>
    <x v="37"/>
    <x v="2"/>
    <s v="Engineer"/>
    <n v="9"/>
    <n v="65000"/>
    <n v="4"/>
    <n v="100"/>
    <n v="98"/>
    <n v="2"/>
    <n v="22"/>
    <n v="0.98"/>
    <x v="1"/>
    <n v="13000"/>
    <n v="3000"/>
    <n v="81000"/>
    <x v="2"/>
  </r>
  <r>
    <x v="38"/>
    <x v="38"/>
    <x v="3"/>
    <s v="Associate"/>
    <n v="10"/>
    <n v="70000"/>
    <n v="5"/>
    <n v="100"/>
    <n v="99"/>
    <n v="3"/>
    <n v="22"/>
    <n v="0.99"/>
    <x v="2"/>
    <n v="14000"/>
    <n v="0"/>
    <n v="84000"/>
    <x v="2"/>
  </r>
  <r>
    <x v="39"/>
    <x v="39"/>
    <x v="4"/>
    <s v="Executive"/>
    <n v="1"/>
    <n v="25000"/>
    <n v="1"/>
    <n v="100"/>
    <n v="100"/>
    <n v="4"/>
    <n v="22"/>
    <n v="1"/>
    <x v="3"/>
    <n v="5000"/>
    <n v="0"/>
    <n v="30000"/>
    <x v="2"/>
  </r>
  <r>
    <x v="40"/>
    <x v="40"/>
    <x v="0"/>
    <s v="Analyst"/>
    <n v="2"/>
    <n v="30000"/>
    <n v="2"/>
    <n v="100"/>
    <n v="60"/>
    <n v="5"/>
    <n v="22"/>
    <n v="0.6"/>
    <x v="4"/>
    <n v="1500"/>
    <n v="0"/>
    <n v="31500"/>
    <x v="0"/>
  </r>
  <r>
    <x v="41"/>
    <x v="41"/>
    <x v="1"/>
    <s v="Manager"/>
    <n v="3"/>
    <n v="35000"/>
    <n v="3"/>
    <n v="100"/>
    <n v="61"/>
    <n v="6"/>
    <n v="22"/>
    <n v="0.61"/>
    <x v="5"/>
    <n v="1750"/>
    <n v="0"/>
    <n v="36750"/>
    <x v="0"/>
  </r>
  <r>
    <x v="42"/>
    <x v="42"/>
    <x v="2"/>
    <s v="Engineer"/>
    <n v="4"/>
    <n v="40000"/>
    <n v="4"/>
    <n v="100"/>
    <n v="62"/>
    <n v="7"/>
    <n v="22"/>
    <n v="0.62"/>
    <x v="6"/>
    <n v="2000"/>
    <n v="0"/>
    <n v="42000"/>
    <x v="0"/>
  </r>
  <r>
    <x v="43"/>
    <x v="43"/>
    <x v="3"/>
    <s v="Associate"/>
    <n v="5"/>
    <n v="45000"/>
    <n v="5"/>
    <n v="100"/>
    <n v="63"/>
    <n v="8"/>
    <n v="22"/>
    <n v="0.63"/>
    <x v="7"/>
    <n v="2250"/>
    <n v="0"/>
    <n v="47250"/>
    <x v="0"/>
  </r>
  <r>
    <x v="44"/>
    <x v="44"/>
    <x v="4"/>
    <s v="Executive"/>
    <n v="6"/>
    <n v="50000"/>
    <n v="1"/>
    <n v="100"/>
    <n v="64"/>
    <n v="9"/>
    <n v="22"/>
    <n v="0.64"/>
    <x v="8"/>
    <n v="2500"/>
    <n v="0"/>
    <n v="52500"/>
    <x v="0"/>
  </r>
  <r>
    <x v="45"/>
    <x v="45"/>
    <x v="0"/>
    <s v="Analyst"/>
    <n v="7"/>
    <n v="55000"/>
    <n v="2"/>
    <n v="100"/>
    <n v="65"/>
    <n v="10"/>
    <n v="22"/>
    <n v="0.65"/>
    <x v="9"/>
    <n v="2750"/>
    <n v="0"/>
    <n v="57750"/>
    <x v="0"/>
  </r>
  <r>
    <x v="46"/>
    <x v="46"/>
    <x v="1"/>
    <s v="Manager"/>
    <n v="8"/>
    <n v="60000"/>
    <n v="3"/>
    <n v="100"/>
    <n v="66"/>
    <n v="11"/>
    <n v="22"/>
    <n v="0.66"/>
    <x v="10"/>
    <n v="3000"/>
    <n v="0"/>
    <n v="63000"/>
    <x v="0"/>
  </r>
  <r>
    <x v="47"/>
    <x v="47"/>
    <x v="2"/>
    <s v="Engineer"/>
    <n v="9"/>
    <n v="65000"/>
    <n v="4"/>
    <n v="100"/>
    <n v="67"/>
    <n v="0"/>
    <n v="22"/>
    <n v="0.67"/>
    <x v="11"/>
    <n v="3250"/>
    <n v="0"/>
    <n v="68250"/>
    <x v="0"/>
  </r>
  <r>
    <x v="48"/>
    <x v="48"/>
    <x v="3"/>
    <s v="Associate"/>
    <n v="10"/>
    <n v="70000"/>
    <n v="5"/>
    <n v="100"/>
    <n v="68"/>
    <n v="1"/>
    <n v="22"/>
    <n v="0.68"/>
    <x v="0"/>
    <n v="3500"/>
    <n v="0"/>
    <n v="73500"/>
    <x v="0"/>
  </r>
  <r>
    <x v="49"/>
    <x v="49"/>
    <x v="4"/>
    <s v="Executive"/>
    <n v="1"/>
    <n v="25000"/>
    <n v="1"/>
    <n v="100"/>
    <n v="69"/>
    <n v="2"/>
    <n v="22"/>
    <n v="0.69"/>
    <x v="1"/>
    <n v="1250"/>
    <n v="0"/>
    <n v="2625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D0C7D-B0A2-428D-8070-0B18407F2B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3:C9" firstHeaderRow="0" firstDataRow="1" firstDataCol="1"/>
  <pivotFields count="17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axis="axisRow"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numFmtId="10"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erformance %" fld="11" subtotal="average" baseField="2" baseItem="0" numFmtId="9"/>
    <dataField name="Average of Final Salary" fld="15" subtotal="average" baseField="2" baseItem="0"/>
  </dataFields>
  <formats count="6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2" type="button" dataOnly="0" labelOnly="1" outline="0" axis="axisRow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D45C3-7E73-46C2-9446-F009C24F6E0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ward">
  <location ref="A35:B39" firstHeaderRow="1" firstDataRow="1" firstDataCol="1"/>
  <pivotFields count="17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numFmtId="10" showAll="0">
      <items count="13">
        <item x="10"/>
        <item x="9"/>
        <item x="8"/>
        <item x="7"/>
        <item x="6"/>
        <item x="5"/>
        <item x="4"/>
        <item x="3"/>
        <item x="2"/>
        <item x="1"/>
        <item x="0"/>
        <item x="1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endance %" fld="12" subtotal="average" baseField="16" baseItem="0" numFmtId="10"/>
  </dataFields>
  <formats count="4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2" type="button" dataOnly="0" labelOnly="1" outline="0"/>
    </format>
    <format dxfId="1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04138-FBCE-4231-946D-EE931E8D0E6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ward">
  <location ref="A28:B32" firstHeaderRow="1" firstDataRow="1" firstDataCol="1"/>
  <pivotFields count="17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dataField="1" numFmtId="10" showAll="0">
      <items count="13">
        <item x="10"/>
        <item x="9"/>
        <item x="8"/>
        <item x="7"/>
        <item x="6"/>
        <item x="5"/>
        <item x="4"/>
        <item x="3"/>
        <item x="2"/>
        <item x="1"/>
        <item x="0"/>
        <item x="1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endance %" fld="12" subtotal="average" baseField="16" baseItem="0" numFmtId="10"/>
  </dataFields>
  <formats count="4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/>
    </format>
    <format dxfId="2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CC440-76C5-4574-ADEC-67350E49055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19:B25" firstHeaderRow="1" firstDataRow="1" firstDataCol="1"/>
  <pivotFields count="17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axis="axisRow"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10"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onus" fld="13" baseField="2" baseItem="0"/>
  </dataFields>
  <formats count="5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47A15-FC10-41E8-B943-3F9EE45028D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ward">
  <location ref="A12:B16" firstHeaderRow="1" firstDataRow="1" firstDataCol="1"/>
  <pivotFields count="17"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10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_ID" fld="0" subtotal="count" baseField="16" baseItem="0"/>
  </dataFields>
  <formats count="4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" type="button" dataOnly="0" labelOnly="1" outline="0"/>
    </format>
    <format dxfId="3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1218DA-EFFB-42A1-8C1B-BDA8580350E5}" name="Table1" displayName="Table1" ref="A1:Q51" totalsRowShown="0" headerRowDxfId="10">
  <autoFilter ref="A1:Q51" xr:uid="{BD1218DA-EFFB-42A1-8C1B-BDA8580350E5}"/>
  <tableColumns count="17">
    <tableColumn id="1" xr3:uid="{DF28097F-44AB-45F3-B299-A209A3A67D5A}" name="Employee_ID"/>
    <tableColumn id="2" xr3:uid="{D0901563-C622-49E4-A393-583C047D8B78}" name="Name"/>
    <tableColumn id="3" xr3:uid="{4DECB600-7364-4BD5-AFF7-C1A6B75D49C5}" name="Department"/>
    <tableColumn id="4" xr3:uid="{331EEBE1-E26D-4715-94F9-A01316C8541C}" name="Role"/>
    <tableColumn id="5" xr3:uid="{FAD18B53-39B2-44DF-93BD-0D39D5A7E972}" name="Experience_Years"/>
    <tableColumn id="6" xr3:uid="{3F6EC639-0ABF-4098-81B4-F09C8DA777A7}" name="Base_Salary"/>
    <tableColumn id="7" xr3:uid="{86D63CB0-C950-486C-8D53-94106538122B}" name="Performance_Rating"/>
    <tableColumn id="8" xr3:uid="{B5369A27-7BA6-4990-AD06-E40A6816D5B0}" name="Targets_Assigned"/>
    <tableColumn id="9" xr3:uid="{F1D39508-E44A-4307-A216-3C41C1AD1B04}" name="Targets_Achieved"/>
    <tableColumn id="10" xr3:uid="{DF45A10F-3C19-475D-BA63-C18BA5FA0B65}" name="Leaves_Taken"/>
    <tableColumn id="11" xr3:uid="{29370F35-49CF-4CA3-9483-3CEC546D45ED}" name="Working_Days"/>
    <tableColumn id="12" xr3:uid="{DF3B5B60-AF70-43F4-B338-051A38F948A8}" name="Performance %" dataDxfId="9" dataCellStyle="Comma">
      <calculatedColumnFormula>I2/H2</calculatedColumnFormula>
    </tableColumn>
    <tableColumn id="13" xr3:uid="{6E1538FB-272D-400B-92DD-168855F5A3C4}" name="Attendance %" dataDxfId="8">
      <calculatedColumnFormula>(K2-J2)/K2</calculatedColumnFormula>
    </tableColumn>
    <tableColumn id="14" xr3:uid="{E8DBBD7C-9DF6-4ACA-903B-5AFFFC0821D4}" name="Bonus">
      <calculatedColumnFormula>IF(L2&gt;=0.9,F2*0.2,
 IF(L2&gt;=0.75,F2*0.1,
 IF(L2&gt;=0.6,F2*0.05,0)))</calculatedColumnFormula>
    </tableColumn>
    <tableColumn id="15" xr3:uid="{B9057948-3183-4DF1-8874-56D438051E05}" name="Incentive">
      <calculatedColumnFormula>IF(AND(L2&gt;=0.85,M2&gt;=0.9),3000,0)</calculatedColumnFormula>
    </tableColumn>
    <tableColumn id="16" xr3:uid="{C87545CF-D590-4345-8FCD-661A8B8A3BB9}" name="Final Salary">
      <calculatedColumnFormula>F2+N2+O2</calculatedColumnFormula>
    </tableColumn>
    <tableColumn id="17" xr3:uid="{E999FFF2-7026-4C00-A666-7A18A2D7FBA2}" name="Reward Status" dataDxfId="7">
      <calculatedColumnFormula>IF(L2&gt;=0.9,"Top Performer",
 IF(N2&gt;0,"Bonus Eligible","No Reward"))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opLeftCell="F1" workbookViewId="0">
      <selection activeCell="A7" sqref="A7"/>
    </sheetView>
  </sheetViews>
  <sheetFormatPr defaultRowHeight="14.4" x14ac:dyDescent="0.3"/>
  <cols>
    <col min="1" max="1" width="14" customWidth="1"/>
    <col min="2" max="2" width="16.77734375" customWidth="1"/>
    <col min="3" max="3" width="16.88671875" customWidth="1"/>
    <col min="4" max="4" width="14.44140625" customWidth="1"/>
    <col min="5" max="5" width="17.44140625" customWidth="1"/>
    <col min="6" max="6" width="12.88671875" customWidth="1"/>
    <col min="7" max="7" width="20.109375" customWidth="1"/>
    <col min="8" max="8" width="17.44140625" customWidth="1"/>
    <col min="9" max="9" width="17.77734375" customWidth="1"/>
    <col min="10" max="10" width="14.6640625" customWidth="1"/>
    <col min="11" max="11" width="15.109375" customWidth="1"/>
    <col min="12" max="12" width="20.77734375" style="5" customWidth="1"/>
    <col min="13" max="13" width="20.21875" style="3" customWidth="1"/>
    <col min="14" max="14" width="14.77734375" customWidth="1"/>
    <col min="15" max="15" width="13.33203125" customWidth="1"/>
    <col min="16" max="16" width="12.33203125" customWidth="1"/>
    <col min="17" max="17" width="15.77734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126</v>
      </c>
      <c r="M1" s="2" t="s">
        <v>125</v>
      </c>
      <c r="N1" s="1" t="s">
        <v>121</v>
      </c>
      <c r="O1" s="1" t="s">
        <v>122</v>
      </c>
      <c r="P1" s="1" t="s">
        <v>123</v>
      </c>
      <c r="Q1" s="1" t="s">
        <v>124</v>
      </c>
    </row>
    <row r="2" spans="1:17" x14ac:dyDescent="0.3">
      <c r="A2" t="s">
        <v>11</v>
      </c>
      <c r="B2" t="s">
        <v>12</v>
      </c>
      <c r="C2" t="s">
        <v>13</v>
      </c>
      <c r="D2" t="s">
        <v>14</v>
      </c>
      <c r="E2">
        <v>2</v>
      </c>
      <c r="F2">
        <v>30000</v>
      </c>
      <c r="G2">
        <v>2</v>
      </c>
      <c r="H2">
        <v>100</v>
      </c>
      <c r="I2">
        <v>61</v>
      </c>
      <c r="J2">
        <v>1</v>
      </c>
      <c r="K2">
        <v>22</v>
      </c>
      <c r="L2" s="5">
        <f>I2/H2</f>
        <v>0.61</v>
      </c>
      <c r="M2" s="3">
        <f>(K2-J2)/K2</f>
        <v>0.95454545454545459</v>
      </c>
      <c r="N2">
        <f>IF(L2&gt;=0.9,F2*0.2,
 IF(L2&gt;=0.75,F2*0.1,
 IF(L2&gt;=0.6,F2*0.05,0)))</f>
        <v>1500</v>
      </c>
      <c r="O2">
        <f>IF(AND(L2&gt;=0.85,M2&gt;=0.9),3000,0)</f>
        <v>0</v>
      </c>
      <c r="P2">
        <f>F2+N2+O2</f>
        <v>31500</v>
      </c>
      <c r="Q2" s="6" t="str">
        <f>IF(L2&gt;=0.9,"Top Performer",
 IF(N2&gt;0,"Bonus Eligible","No Reward"))</f>
        <v>Bonus Eligible</v>
      </c>
    </row>
    <row r="3" spans="1:17" x14ac:dyDescent="0.3">
      <c r="A3" t="s">
        <v>15</v>
      </c>
      <c r="B3" t="s">
        <v>16</v>
      </c>
      <c r="C3" t="s">
        <v>17</v>
      </c>
      <c r="D3" t="s">
        <v>18</v>
      </c>
      <c r="E3">
        <v>3</v>
      </c>
      <c r="F3">
        <v>35000</v>
      </c>
      <c r="G3">
        <v>3</v>
      </c>
      <c r="H3">
        <v>100</v>
      </c>
      <c r="I3">
        <v>62</v>
      </c>
      <c r="J3">
        <v>2</v>
      </c>
      <c r="K3">
        <v>22</v>
      </c>
      <c r="L3" s="5">
        <f t="shared" ref="L3:L51" si="0">I3/H3</f>
        <v>0.62</v>
      </c>
      <c r="M3" s="3">
        <f t="shared" ref="M3:M51" si="1">(K3-J3)/K3</f>
        <v>0.90909090909090906</v>
      </c>
      <c r="N3">
        <f t="shared" ref="N3:N51" si="2">IF(L3&gt;=0.9,F3*0.2,
 IF(L3&gt;=0.75,F3*0.1,
 IF(L3&gt;=0.6,F3*0.05,0)))</f>
        <v>1750</v>
      </c>
      <c r="O3">
        <f t="shared" ref="O3:O51" si="3">IF(AND(L3&gt;=0.85,M3&gt;=0.9),3000,0)</f>
        <v>0</v>
      </c>
      <c r="P3">
        <f t="shared" ref="P3:P51" si="4">F3+N3+O3</f>
        <v>36750</v>
      </c>
      <c r="Q3" s="6" t="str">
        <f t="shared" ref="Q3:Q51" si="5">IF(L3&gt;=0.9,"Top Performer",
 IF(N3&gt;0,"Bonus Eligible","No Reward"))</f>
        <v>Bonus Eligible</v>
      </c>
    </row>
    <row r="4" spans="1:17" x14ac:dyDescent="0.3">
      <c r="A4" t="s">
        <v>19</v>
      </c>
      <c r="B4" t="s">
        <v>20</v>
      </c>
      <c r="C4" t="s">
        <v>21</v>
      </c>
      <c r="D4" t="s">
        <v>22</v>
      </c>
      <c r="E4">
        <v>4</v>
      </c>
      <c r="F4">
        <v>40000</v>
      </c>
      <c r="G4">
        <v>4</v>
      </c>
      <c r="H4">
        <v>100</v>
      </c>
      <c r="I4">
        <v>63</v>
      </c>
      <c r="J4">
        <v>3</v>
      </c>
      <c r="K4">
        <v>22</v>
      </c>
      <c r="L4" s="5">
        <f t="shared" si="0"/>
        <v>0.63</v>
      </c>
      <c r="M4" s="3">
        <f t="shared" si="1"/>
        <v>0.86363636363636365</v>
      </c>
      <c r="N4">
        <f t="shared" si="2"/>
        <v>2000</v>
      </c>
      <c r="O4">
        <f t="shared" si="3"/>
        <v>0</v>
      </c>
      <c r="P4">
        <f t="shared" si="4"/>
        <v>42000</v>
      </c>
      <c r="Q4" s="6" t="str">
        <f t="shared" si="5"/>
        <v>Bonus Eligible</v>
      </c>
    </row>
    <row r="5" spans="1:17" x14ac:dyDescent="0.3">
      <c r="A5" t="s">
        <v>23</v>
      </c>
      <c r="B5" t="s">
        <v>24</v>
      </c>
      <c r="C5" t="s">
        <v>25</v>
      </c>
      <c r="D5" t="s">
        <v>26</v>
      </c>
      <c r="E5">
        <v>5</v>
      </c>
      <c r="F5">
        <v>45000</v>
      </c>
      <c r="G5">
        <v>5</v>
      </c>
      <c r="H5">
        <v>100</v>
      </c>
      <c r="I5">
        <v>64</v>
      </c>
      <c r="J5">
        <v>4</v>
      </c>
      <c r="K5">
        <v>22</v>
      </c>
      <c r="L5" s="5">
        <f t="shared" si="0"/>
        <v>0.64</v>
      </c>
      <c r="M5" s="3">
        <f t="shared" si="1"/>
        <v>0.81818181818181823</v>
      </c>
      <c r="N5">
        <f t="shared" si="2"/>
        <v>2250</v>
      </c>
      <c r="O5">
        <f t="shared" si="3"/>
        <v>0</v>
      </c>
      <c r="P5">
        <f t="shared" si="4"/>
        <v>47250</v>
      </c>
      <c r="Q5" s="6" t="str">
        <f t="shared" si="5"/>
        <v>Bonus Eligible</v>
      </c>
    </row>
    <row r="6" spans="1:17" x14ac:dyDescent="0.3">
      <c r="A6" t="s">
        <v>27</v>
      </c>
      <c r="B6" t="s">
        <v>28</v>
      </c>
      <c r="C6" t="s">
        <v>29</v>
      </c>
      <c r="D6" t="s">
        <v>30</v>
      </c>
      <c r="E6">
        <v>6</v>
      </c>
      <c r="F6">
        <v>50000</v>
      </c>
      <c r="G6">
        <v>1</v>
      </c>
      <c r="H6">
        <v>100</v>
      </c>
      <c r="I6">
        <v>65</v>
      </c>
      <c r="J6">
        <v>5</v>
      </c>
      <c r="K6">
        <v>22</v>
      </c>
      <c r="L6" s="5">
        <f t="shared" si="0"/>
        <v>0.65</v>
      </c>
      <c r="M6" s="3">
        <f t="shared" si="1"/>
        <v>0.77272727272727271</v>
      </c>
      <c r="N6">
        <f t="shared" si="2"/>
        <v>2500</v>
      </c>
      <c r="O6">
        <f t="shared" si="3"/>
        <v>0</v>
      </c>
      <c r="P6">
        <f t="shared" si="4"/>
        <v>52500</v>
      </c>
      <c r="Q6" s="6" t="str">
        <f t="shared" si="5"/>
        <v>Bonus Eligible</v>
      </c>
    </row>
    <row r="7" spans="1:17" x14ac:dyDescent="0.3">
      <c r="A7" t="s">
        <v>31</v>
      </c>
      <c r="B7" t="s">
        <v>32</v>
      </c>
      <c r="C7" t="s">
        <v>13</v>
      </c>
      <c r="D7" t="s">
        <v>14</v>
      </c>
      <c r="E7">
        <v>7</v>
      </c>
      <c r="F7">
        <v>55000</v>
      </c>
      <c r="G7">
        <v>2</v>
      </c>
      <c r="H7">
        <v>100</v>
      </c>
      <c r="I7">
        <v>66</v>
      </c>
      <c r="J7">
        <v>6</v>
      </c>
      <c r="K7">
        <v>22</v>
      </c>
      <c r="L7" s="5">
        <f t="shared" si="0"/>
        <v>0.66</v>
      </c>
      <c r="M7" s="3">
        <f t="shared" si="1"/>
        <v>0.72727272727272729</v>
      </c>
      <c r="N7">
        <f t="shared" si="2"/>
        <v>2750</v>
      </c>
      <c r="O7">
        <f t="shared" si="3"/>
        <v>0</v>
      </c>
      <c r="P7">
        <f t="shared" si="4"/>
        <v>57750</v>
      </c>
      <c r="Q7" s="6" t="str">
        <f t="shared" si="5"/>
        <v>Bonus Eligible</v>
      </c>
    </row>
    <row r="8" spans="1:17" x14ac:dyDescent="0.3">
      <c r="A8" t="s">
        <v>33</v>
      </c>
      <c r="B8" t="s">
        <v>34</v>
      </c>
      <c r="C8" t="s">
        <v>17</v>
      </c>
      <c r="D8" t="s">
        <v>18</v>
      </c>
      <c r="E8">
        <v>8</v>
      </c>
      <c r="F8">
        <v>60000</v>
      </c>
      <c r="G8">
        <v>3</v>
      </c>
      <c r="H8">
        <v>100</v>
      </c>
      <c r="I8">
        <v>40</v>
      </c>
      <c r="J8">
        <v>7</v>
      </c>
      <c r="K8">
        <v>22</v>
      </c>
      <c r="L8" s="5">
        <f t="shared" si="0"/>
        <v>0.4</v>
      </c>
      <c r="M8" s="3">
        <f t="shared" si="1"/>
        <v>0.68181818181818177</v>
      </c>
      <c r="N8">
        <f t="shared" si="2"/>
        <v>0</v>
      </c>
      <c r="O8">
        <f t="shared" si="3"/>
        <v>0</v>
      </c>
      <c r="P8">
        <f t="shared" si="4"/>
        <v>60000</v>
      </c>
      <c r="Q8" s="6" t="str">
        <f t="shared" si="5"/>
        <v>No Reward</v>
      </c>
    </row>
    <row r="9" spans="1:17" x14ac:dyDescent="0.3">
      <c r="A9" t="s">
        <v>35</v>
      </c>
      <c r="B9" t="s">
        <v>36</v>
      </c>
      <c r="C9" t="s">
        <v>21</v>
      </c>
      <c r="D9" t="s">
        <v>22</v>
      </c>
      <c r="E9">
        <v>9</v>
      </c>
      <c r="F9">
        <v>65000</v>
      </c>
      <c r="G9">
        <v>4</v>
      </c>
      <c r="H9">
        <v>100</v>
      </c>
      <c r="I9">
        <v>68</v>
      </c>
      <c r="J9">
        <v>8</v>
      </c>
      <c r="K9">
        <v>22</v>
      </c>
      <c r="L9" s="5">
        <f t="shared" si="0"/>
        <v>0.68</v>
      </c>
      <c r="M9" s="3">
        <f t="shared" si="1"/>
        <v>0.63636363636363635</v>
      </c>
      <c r="N9">
        <f t="shared" si="2"/>
        <v>3250</v>
      </c>
      <c r="O9">
        <f t="shared" si="3"/>
        <v>0</v>
      </c>
      <c r="P9">
        <f t="shared" si="4"/>
        <v>68250</v>
      </c>
      <c r="Q9" s="6" t="str">
        <f t="shared" si="5"/>
        <v>Bonus Eligible</v>
      </c>
    </row>
    <row r="10" spans="1:17" x14ac:dyDescent="0.3">
      <c r="A10" t="s">
        <v>37</v>
      </c>
      <c r="B10" t="s">
        <v>38</v>
      </c>
      <c r="C10" t="s">
        <v>25</v>
      </c>
      <c r="D10" t="s">
        <v>26</v>
      </c>
      <c r="E10">
        <v>10</v>
      </c>
      <c r="F10">
        <v>70000</v>
      </c>
      <c r="G10">
        <v>5</v>
      </c>
      <c r="H10">
        <v>100</v>
      </c>
      <c r="I10">
        <v>69</v>
      </c>
      <c r="J10">
        <v>9</v>
      </c>
      <c r="K10">
        <v>22</v>
      </c>
      <c r="L10" s="5">
        <f t="shared" si="0"/>
        <v>0.69</v>
      </c>
      <c r="M10" s="3">
        <f t="shared" si="1"/>
        <v>0.59090909090909094</v>
      </c>
      <c r="N10">
        <f t="shared" si="2"/>
        <v>3500</v>
      </c>
      <c r="O10">
        <f t="shared" si="3"/>
        <v>0</v>
      </c>
      <c r="P10">
        <f t="shared" si="4"/>
        <v>73500</v>
      </c>
      <c r="Q10" s="6" t="str">
        <f t="shared" si="5"/>
        <v>Bonus Eligible</v>
      </c>
    </row>
    <row r="11" spans="1:17" x14ac:dyDescent="0.3">
      <c r="A11" t="s">
        <v>39</v>
      </c>
      <c r="B11" t="s">
        <v>40</v>
      </c>
      <c r="C11" t="s">
        <v>29</v>
      </c>
      <c r="D11" t="s">
        <v>30</v>
      </c>
      <c r="E11">
        <v>1</v>
      </c>
      <c r="F11">
        <v>25000</v>
      </c>
      <c r="G11">
        <v>1</v>
      </c>
      <c r="H11">
        <v>100</v>
      </c>
      <c r="I11">
        <v>50</v>
      </c>
      <c r="J11">
        <v>10</v>
      </c>
      <c r="K11">
        <v>22</v>
      </c>
      <c r="L11" s="5">
        <f t="shared" si="0"/>
        <v>0.5</v>
      </c>
      <c r="M11" s="3">
        <f t="shared" si="1"/>
        <v>0.54545454545454541</v>
      </c>
      <c r="N11">
        <f t="shared" si="2"/>
        <v>0</v>
      </c>
      <c r="O11">
        <f t="shared" si="3"/>
        <v>0</v>
      </c>
      <c r="P11">
        <f t="shared" si="4"/>
        <v>25000</v>
      </c>
      <c r="Q11" s="6" t="str">
        <f t="shared" si="5"/>
        <v>No Reward</v>
      </c>
    </row>
    <row r="12" spans="1:17" x14ac:dyDescent="0.3">
      <c r="A12" t="s">
        <v>41</v>
      </c>
      <c r="B12" t="s">
        <v>42</v>
      </c>
      <c r="C12" t="s">
        <v>13</v>
      </c>
      <c r="D12" t="s">
        <v>14</v>
      </c>
      <c r="E12">
        <v>2</v>
      </c>
      <c r="F12">
        <v>30000</v>
      </c>
      <c r="G12">
        <v>2</v>
      </c>
      <c r="H12">
        <v>100</v>
      </c>
      <c r="I12">
        <v>71</v>
      </c>
      <c r="J12">
        <v>11</v>
      </c>
      <c r="K12">
        <v>22</v>
      </c>
      <c r="L12" s="5">
        <f t="shared" si="0"/>
        <v>0.71</v>
      </c>
      <c r="M12" s="3">
        <f t="shared" si="1"/>
        <v>0.5</v>
      </c>
      <c r="N12">
        <f t="shared" si="2"/>
        <v>1500</v>
      </c>
      <c r="O12">
        <f t="shared" si="3"/>
        <v>0</v>
      </c>
      <c r="P12">
        <f t="shared" si="4"/>
        <v>31500</v>
      </c>
      <c r="Q12" s="6" t="str">
        <f t="shared" si="5"/>
        <v>Bonus Eligible</v>
      </c>
    </row>
    <row r="13" spans="1:17" x14ac:dyDescent="0.3">
      <c r="A13" t="s">
        <v>43</v>
      </c>
      <c r="B13" t="s">
        <v>44</v>
      </c>
      <c r="C13" t="s">
        <v>17</v>
      </c>
      <c r="D13" t="s">
        <v>18</v>
      </c>
      <c r="E13">
        <v>3</v>
      </c>
      <c r="F13">
        <v>35000</v>
      </c>
      <c r="G13">
        <v>3</v>
      </c>
      <c r="H13">
        <v>100</v>
      </c>
      <c r="I13">
        <v>72</v>
      </c>
      <c r="J13">
        <v>0</v>
      </c>
      <c r="K13">
        <v>22</v>
      </c>
      <c r="L13" s="5">
        <f t="shared" si="0"/>
        <v>0.72</v>
      </c>
      <c r="M13" s="3">
        <f t="shared" si="1"/>
        <v>1</v>
      </c>
      <c r="N13">
        <f t="shared" si="2"/>
        <v>1750</v>
      </c>
      <c r="O13">
        <f t="shared" si="3"/>
        <v>0</v>
      </c>
      <c r="P13">
        <f t="shared" si="4"/>
        <v>36750</v>
      </c>
      <c r="Q13" s="6" t="str">
        <f t="shared" si="5"/>
        <v>Bonus Eligible</v>
      </c>
    </row>
    <row r="14" spans="1:17" x14ac:dyDescent="0.3">
      <c r="A14" t="s">
        <v>45</v>
      </c>
      <c r="B14" t="s">
        <v>46</v>
      </c>
      <c r="C14" t="s">
        <v>21</v>
      </c>
      <c r="D14" t="s">
        <v>22</v>
      </c>
      <c r="E14">
        <v>4</v>
      </c>
      <c r="F14">
        <v>40000</v>
      </c>
      <c r="G14">
        <v>4</v>
      </c>
      <c r="H14">
        <v>100</v>
      </c>
      <c r="I14">
        <v>73</v>
      </c>
      <c r="J14">
        <v>1</v>
      </c>
      <c r="K14">
        <v>22</v>
      </c>
      <c r="L14" s="5">
        <f t="shared" si="0"/>
        <v>0.73</v>
      </c>
      <c r="M14" s="3">
        <f t="shared" si="1"/>
        <v>0.95454545454545459</v>
      </c>
      <c r="N14">
        <f t="shared" si="2"/>
        <v>2000</v>
      </c>
      <c r="O14">
        <f t="shared" si="3"/>
        <v>0</v>
      </c>
      <c r="P14">
        <f t="shared" si="4"/>
        <v>42000</v>
      </c>
      <c r="Q14" s="6" t="str">
        <f t="shared" si="5"/>
        <v>Bonus Eligible</v>
      </c>
    </row>
    <row r="15" spans="1:17" x14ac:dyDescent="0.3">
      <c r="A15" t="s">
        <v>47</v>
      </c>
      <c r="B15" t="s">
        <v>48</v>
      </c>
      <c r="C15" t="s">
        <v>25</v>
      </c>
      <c r="D15" t="s">
        <v>26</v>
      </c>
      <c r="E15">
        <v>5</v>
      </c>
      <c r="F15">
        <v>45000</v>
      </c>
      <c r="G15">
        <v>5</v>
      </c>
      <c r="H15">
        <v>100</v>
      </c>
      <c r="I15">
        <v>74</v>
      </c>
      <c r="J15">
        <v>2</v>
      </c>
      <c r="K15">
        <v>22</v>
      </c>
      <c r="L15" s="5">
        <f t="shared" si="0"/>
        <v>0.74</v>
      </c>
      <c r="M15" s="3">
        <f t="shared" si="1"/>
        <v>0.90909090909090906</v>
      </c>
      <c r="N15">
        <f t="shared" si="2"/>
        <v>2250</v>
      </c>
      <c r="O15">
        <f t="shared" si="3"/>
        <v>0</v>
      </c>
      <c r="P15">
        <f t="shared" si="4"/>
        <v>47250</v>
      </c>
      <c r="Q15" s="6" t="str">
        <f t="shared" si="5"/>
        <v>Bonus Eligible</v>
      </c>
    </row>
    <row r="16" spans="1:17" x14ac:dyDescent="0.3">
      <c r="A16" t="s">
        <v>49</v>
      </c>
      <c r="B16" t="s">
        <v>50</v>
      </c>
      <c r="C16" t="s">
        <v>29</v>
      </c>
      <c r="D16" t="s">
        <v>30</v>
      </c>
      <c r="E16">
        <v>6</v>
      </c>
      <c r="F16">
        <v>50000</v>
      </c>
      <c r="G16">
        <v>1</v>
      </c>
      <c r="H16">
        <v>100</v>
      </c>
      <c r="I16">
        <v>75</v>
      </c>
      <c r="J16">
        <v>3</v>
      </c>
      <c r="K16">
        <v>22</v>
      </c>
      <c r="L16" s="5">
        <f t="shared" si="0"/>
        <v>0.75</v>
      </c>
      <c r="M16" s="3">
        <f t="shared" si="1"/>
        <v>0.86363636363636365</v>
      </c>
      <c r="N16">
        <f t="shared" si="2"/>
        <v>5000</v>
      </c>
      <c r="O16">
        <f t="shared" si="3"/>
        <v>0</v>
      </c>
      <c r="P16">
        <f t="shared" si="4"/>
        <v>55000</v>
      </c>
      <c r="Q16" s="6" t="str">
        <f t="shared" si="5"/>
        <v>Bonus Eligible</v>
      </c>
    </row>
    <row r="17" spans="1:17" x14ac:dyDescent="0.3">
      <c r="A17" t="s">
        <v>51</v>
      </c>
      <c r="B17" t="s">
        <v>52</v>
      </c>
      <c r="C17" t="s">
        <v>13</v>
      </c>
      <c r="D17" t="s">
        <v>14</v>
      </c>
      <c r="E17">
        <v>7</v>
      </c>
      <c r="F17">
        <v>55000</v>
      </c>
      <c r="G17">
        <v>2</v>
      </c>
      <c r="H17">
        <v>100</v>
      </c>
      <c r="I17">
        <v>76</v>
      </c>
      <c r="J17">
        <v>4</v>
      </c>
      <c r="K17">
        <v>22</v>
      </c>
      <c r="L17" s="5">
        <f t="shared" si="0"/>
        <v>0.76</v>
      </c>
      <c r="M17" s="3">
        <f t="shared" si="1"/>
        <v>0.81818181818181823</v>
      </c>
      <c r="N17">
        <f t="shared" si="2"/>
        <v>5500</v>
      </c>
      <c r="O17">
        <f t="shared" si="3"/>
        <v>0</v>
      </c>
      <c r="P17">
        <f t="shared" si="4"/>
        <v>60500</v>
      </c>
      <c r="Q17" s="6" t="str">
        <f t="shared" si="5"/>
        <v>Bonus Eligible</v>
      </c>
    </row>
    <row r="18" spans="1:17" x14ac:dyDescent="0.3">
      <c r="A18" t="s">
        <v>53</v>
      </c>
      <c r="B18" t="s">
        <v>54</v>
      </c>
      <c r="C18" t="s">
        <v>17</v>
      </c>
      <c r="D18" t="s">
        <v>18</v>
      </c>
      <c r="E18">
        <v>8</v>
      </c>
      <c r="F18">
        <v>60000</v>
      </c>
      <c r="G18">
        <v>3</v>
      </c>
      <c r="H18">
        <v>100</v>
      </c>
      <c r="I18">
        <v>77</v>
      </c>
      <c r="J18">
        <v>5</v>
      </c>
      <c r="K18">
        <v>22</v>
      </c>
      <c r="L18" s="5">
        <f t="shared" si="0"/>
        <v>0.77</v>
      </c>
      <c r="M18" s="3">
        <f t="shared" si="1"/>
        <v>0.77272727272727271</v>
      </c>
      <c r="N18">
        <f t="shared" si="2"/>
        <v>6000</v>
      </c>
      <c r="O18">
        <f t="shared" si="3"/>
        <v>0</v>
      </c>
      <c r="P18">
        <f t="shared" si="4"/>
        <v>66000</v>
      </c>
      <c r="Q18" s="6" t="str">
        <f t="shared" si="5"/>
        <v>Bonus Eligible</v>
      </c>
    </row>
    <row r="19" spans="1:17" x14ac:dyDescent="0.3">
      <c r="A19" t="s">
        <v>55</v>
      </c>
      <c r="B19" t="s">
        <v>56</v>
      </c>
      <c r="C19" t="s">
        <v>21</v>
      </c>
      <c r="D19" t="s">
        <v>22</v>
      </c>
      <c r="E19">
        <v>9</v>
      </c>
      <c r="F19">
        <v>65000</v>
      </c>
      <c r="G19">
        <v>4</v>
      </c>
      <c r="H19">
        <v>100</v>
      </c>
      <c r="I19">
        <v>78</v>
      </c>
      <c r="J19">
        <v>6</v>
      </c>
      <c r="K19">
        <v>22</v>
      </c>
      <c r="L19" s="5">
        <f t="shared" si="0"/>
        <v>0.78</v>
      </c>
      <c r="M19" s="3">
        <f t="shared" si="1"/>
        <v>0.72727272727272729</v>
      </c>
      <c r="N19">
        <f t="shared" si="2"/>
        <v>6500</v>
      </c>
      <c r="O19">
        <f t="shared" si="3"/>
        <v>0</v>
      </c>
      <c r="P19">
        <f t="shared" si="4"/>
        <v>71500</v>
      </c>
      <c r="Q19" s="6" t="str">
        <f t="shared" si="5"/>
        <v>Bonus Eligible</v>
      </c>
    </row>
    <row r="20" spans="1:17" x14ac:dyDescent="0.3">
      <c r="A20" t="s">
        <v>57</v>
      </c>
      <c r="B20" t="s">
        <v>58</v>
      </c>
      <c r="C20" t="s">
        <v>25</v>
      </c>
      <c r="D20" t="s">
        <v>26</v>
      </c>
      <c r="E20">
        <v>10</v>
      </c>
      <c r="F20">
        <v>70000</v>
      </c>
      <c r="G20">
        <v>5</v>
      </c>
      <c r="H20">
        <v>100</v>
      </c>
      <c r="I20">
        <v>79</v>
      </c>
      <c r="J20">
        <v>7</v>
      </c>
      <c r="K20">
        <v>22</v>
      </c>
      <c r="L20" s="5">
        <f t="shared" si="0"/>
        <v>0.79</v>
      </c>
      <c r="M20" s="3">
        <f t="shared" si="1"/>
        <v>0.68181818181818177</v>
      </c>
      <c r="N20">
        <f t="shared" si="2"/>
        <v>7000</v>
      </c>
      <c r="O20">
        <f t="shared" si="3"/>
        <v>0</v>
      </c>
      <c r="P20">
        <f t="shared" si="4"/>
        <v>77000</v>
      </c>
      <c r="Q20" s="6" t="str">
        <f t="shared" si="5"/>
        <v>Bonus Eligible</v>
      </c>
    </row>
    <row r="21" spans="1:17" x14ac:dyDescent="0.3">
      <c r="A21" t="s">
        <v>59</v>
      </c>
      <c r="B21" t="s">
        <v>60</v>
      </c>
      <c r="C21" t="s">
        <v>29</v>
      </c>
      <c r="D21" t="s">
        <v>30</v>
      </c>
      <c r="E21">
        <v>1</v>
      </c>
      <c r="F21">
        <v>25000</v>
      </c>
      <c r="G21">
        <v>1</v>
      </c>
      <c r="H21">
        <v>100</v>
      </c>
      <c r="I21">
        <v>80</v>
      </c>
      <c r="J21">
        <v>8</v>
      </c>
      <c r="K21">
        <v>22</v>
      </c>
      <c r="L21" s="5">
        <f t="shared" si="0"/>
        <v>0.8</v>
      </c>
      <c r="M21" s="3">
        <f t="shared" si="1"/>
        <v>0.63636363636363635</v>
      </c>
      <c r="N21">
        <f t="shared" si="2"/>
        <v>2500</v>
      </c>
      <c r="O21">
        <f t="shared" si="3"/>
        <v>0</v>
      </c>
      <c r="P21">
        <f t="shared" si="4"/>
        <v>27500</v>
      </c>
      <c r="Q21" s="6" t="str">
        <f t="shared" si="5"/>
        <v>Bonus Eligible</v>
      </c>
    </row>
    <row r="22" spans="1:17" x14ac:dyDescent="0.3">
      <c r="A22" t="s">
        <v>61</v>
      </c>
      <c r="B22" t="s">
        <v>62</v>
      </c>
      <c r="C22" t="s">
        <v>13</v>
      </c>
      <c r="D22" t="s">
        <v>14</v>
      </c>
      <c r="E22">
        <v>2</v>
      </c>
      <c r="F22">
        <v>30000</v>
      </c>
      <c r="G22">
        <v>2</v>
      </c>
      <c r="H22">
        <v>100</v>
      </c>
      <c r="I22">
        <v>81</v>
      </c>
      <c r="J22">
        <v>9</v>
      </c>
      <c r="K22">
        <v>22</v>
      </c>
      <c r="L22" s="5">
        <f t="shared" si="0"/>
        <v>0.81</v>
      </c>
      <c r="M22" s="3">
        <f t="shared" si="1"/>
        <v>0.59090909090909094</v>
      </c>
      <c r="N22">
        <f t="shared" si="2"/>
        <v>3000</v>
      </c>
      <c r="O22">
        <f t="shared" si="3"/>
        <v>0</v>
      </c>
      <c r="P22">
        <f t="shared" si="4"/>
        <v>33000</v>
      </c>
      <c r="Q22" s="6" t="str">
        <f t="shared" si="5"/>
        <v>Bonus Eligible</v>
      </c>
    </row>
    <row r="23" spans="1:17" x14ac:dyDescent="0.3">
      <c r="A23" t="s">
        <v>63</v>
      </c>
      <c r="B23" t="s">
        <v>64</v>
      </c>
      <c r="C23" t="s">
        <v>17</v>
      </c>
      <c r="D23" t="s">
        <v>18</v>
      </c>
      <c r="E23">
        <v>3</v>
      </c>
      <c r="F23">
        <v>35000</v>
      </c>
      <c r="G23">
        <v>3</v>
      </c>
      <c r="H23">
        <v>100</v>
      </c>
      <c r="I23">
        <v>82</v>
      </c>
      <c r="J23">
        <v>10</v>
      </c>
      <c r="K23">
        <v>22</v>
      </c>
      <c r="L23" s="5">
        <f t="shared" si="0"/>
        <v>0.82</v>
      </c>
      <c r="M23" s="3">
        <f t="shared" si="1"/>
        <v>0.54545454545454541</v>
      </c>
      <c r="N23">
        <f t="shared" si="2"/>
        <v>3500</v>
      </c>
      <c r="O23">
        <f t="shared" si="3"/>
        <v>0</v>
      </c>
      <c r="P23">
        <f t="shared" si="4"/>
        <v>38500</v>
      </c>
      <c r="Q23" s="6" t="str">
        <f t="shared" si="5"/>
        <v>Bonus Eligible</v>
      </c>
    </row>
    <row r="24" spans="1:17" x14ac:dyDescent="0.3">
      <c r="A24" t="s">
        <v>65</v>
      </c>
      <c r="B24" t="s">
        <v>66</v>
      </c>
      <c r="C24" t="s">
        <v>21</v>
      </c>
      <c r="D24" t="s">
        <v>22</v>
      </c>
      <c r="E24">
        <v>4</v>
      </c>
      <c r="F24">
        <v>40000</v>
      </c>
      <c r="G24">
        <v>4</v>
      </c>
      <c r="H24">
        <v>100</v>
      </c>
      <c r="I24">
        <v>83</v>
      </c>
      <c r="J24">
        <v>11</v>
      </c>
      <c r="K24">
        <v>22</v>
      </c>
      <c r="L24" s="5">
        <f t="shared" si="0"/>
        <v>0.83</v>
      </c>
      <c r="M24" s="3">
        <f t="shared" si="1"/>
        <v>0.5</v>
      </c>
      <c r="N24">
        <f t="shared" si="2"/>
        <v>4000</v>
      </c>
      <c r="O24">
        <f t="shared" si="3"/>
        <v>0</v>
      </c>
      <c r="P24">
        <f t="shared" si="4"/>
        <v>44000</v>
      </c>
      <c r="Q24" s="6" t="str">
        <f t="shared" si="5"/>
        <v>Bonus Eligible</v>
      </c>
    </row>
    <row r="25" spans="1:17" x14ac:dyDescent="0.3">
      <c r="A25" t="s">
        <v>67</v>
      </c>
      <c r="B25" t="s">
        <v>68</v>
      </c>
      <c r="C25" t="s">
        <v>25</v>
      </c>
      <c r="D25" t="s">
        <v>26</v>
      </c>
      <c r="E25">
        <v>5</v>
      </c>
      <c r="F25">
        <v>45000</v>
      </c>
      <c r="G25">
        <v>5</v>
      </c>
      <c r="H25">
        <v>100</v>
      </c>
      <c r="I25">
        <v>84</v>
      </c>
      <c r="J25">
        <v>0</v>
      </c>
      <c r="K25">
        <v>22</v>
      </c>
      <c r="L25" s="5">
        <f t="shared" si="0"/>
        <v>0.84</v>
      </c>
      <c r="M25" s="3">
        <f t="shared" si="1"/>
        <v>1</v>
      </c>
      <c r="N25">
        <f t="shared" si="2"/>
        <v>4500</v>
      </c>
      <c r="O25">
        <f t="shared" si="3"/>
        <v>0</v>
      </c>
      <c r="P25">
        <f t="shared" si="4"/>
        <v>49500</v>
      </c>
      <c r="Q25" s="6" t="str">
        <f t="shared" si="5"/>
        <v>Bonus Eligible</v>
      </c>
    </row>
    <row r="26" spans="1:17" x14ac:dyDescent="0.3">
      <c r="A26" t="s">
        <v>69</v>
      </c>
      <c r="B26" t="s">
        <v>70</v>
      </c>
      <c r="C26" t="s">
        <v>29</v>
      </c>
      <c r="D26" t="s">
        <v>30</v>
      </c>
      <c r="E26">
        <v>6</v>
      </c>
      <c r="F26">
        <v>50000</v>
      </c>
      <c r="G26">
        <v>1</v>
      </c>
      <c r="H26">
        <v>100</v>
      </c>
      <c r="I26">
        <v>55</v>
      </c>
      <c r="J26">
        <v>1</v>
      </c>
      <c r="K26">
        <v>22</v>
      </c>
      <c r="L26" s="5">
        <f t="shared" si="0"/>
        <v>0.55000000000000004</v>
      </c>
      <c r="M26" s="3">
        <f t="shared" si="1"/>
        <v>0.95454545454545459</v>
      </c>
      <c r="N26">
        <f t="shared" si="2"/>
        <v>0</v>
      </c>
      <c r="O26">
        <f t="shared" si="3"/>
        <v>0</v>
      </c>
      <c r="P26">
        <f t="shared" si="4"/>
        <v>50000</v>
      </c>
      <c r="Q26" s="6" t="str">
        <f t="shared" si="5"/>
        <v>No Reward</v>
      </c>
    </row>
    <row r="27" spans="1:17" x14ac:dyDescent="0.3">
      <c r="A27" t="s">
        <v>71</v>
      </c>
      <c r="B27" t="s">
        <v>72</v>
      </c>
      <c r="C27" t="s">
        <v>13</v>
      </c>
      <c r="D27" t="s">
        <v>14</v>
      </c>
      <c r="E27">
        <v>7</v>
      </c>
      <c r="F27">
        <v>55000</v>
      </c>
      <c r="G27">
        <v>2</v>
      </c>
      <c r="H27">
        <v>100</v>
      </c>
      <c r="I27">
        <v>86</v>
      </c>
      <c r="J27">
        <v>2</v>
      </c>
      <c r="K27">
        <v>22</v>
      </c>
      <c r="L27" s="5">
        <f t="shared" si="0"/>
        <v>0.86</v>
      </c>
      <c r="M27" s="3">
        <f t="shared" si="1"/>
        <v>0.90909090909090906</v>
      </c>
      <c r="N27">
        <f t="shared" si="2"/>
        <v>5500</v>
      </c>
      <c r="O27">
        <f t="shared" si="3"/>
        <v>3000</v>
      </c>
      <c r="P27">
        <f t="shared" si="4"/>
        <v>63500</v>
      </c>
      <c r="Q27" s="6" t="str">
        <f t="shared" si="5"/>
        <v>Bonus Eligible</v>
      </c>
    </row>
    <row r="28" spans="1:17" x14ac:dyDescent="0.3">
      <c r="A28" t="s">
        <v>73</v>
      </c>
      <c r="B28" t="s">
        <v>74</v>
      </c>
      <c r="C28" t="s">
        <v>17</v>
      </c>
      <c r="D28" t="s">
        <v>18</v>
      </c>
      <c r="E28">
        <v>8</v>
      </c>
      <c r="F28">
        <v>60000</v>
      </c>
      <c r="G28">
        <v>3</v>
      </c>
      <c r="H28">
        <v>100</v>
      </c>
      <c r="I28">
        <v>87</v>
      </c>
      <c r="J28">
        <v>3</v>
      </c>
      <c r="K28">
        <v>22</v>
      </c>
      <c r="L28" s="5">
        <f t="shared" si="0"/>
        <v>0.87</v>
      </c>
      <c r="M28" s="3">
        <f t="shared" si="1"/>
        <v>0.86363636363636365</v>
      </c>
      <c r="N28">
        <f t="shared" si="2"/>
        <v>6000</v>
      </c>
      <c r="O28">
        <f t="shared" si="3"/>
        <v>0</v>
      </c>
      <c r="P28">
        <f t="shared" si="4"/>
        <v>66000</v>
      </c>
      <c r="Q28" s="6" t="str">
        <f t="shared" si="5"/>
        <v>Bonus Eligible</v>
      </c>
    </row>
    <row r="29" spans="1:17" x14ac:dyDescent="0.3">
      <c r="A29" t="s">
        <v>75</v>
      </c>
      <c r="B29" t="s">
        <v>76</v>
      </c>
      <c r="C29" t="s">
        <v>21</v>
      </c>
      <c r="D29" t="s">
        <v>22</v>
      </c>
      <c r="E29">
        <v>9</v>
      </c>
      <c r="F29">
        <v>65000</v>
      </c>
      <c r="G29">
        <v>4</v>
      </c>
      <c r="H29">
        <v>100</v>
      </c>
      <c r="I29">
        <v>88</v>
      </c>
      <c r="J29">
        <v>4</v>
      </c>
      <c r="K29">
        <v>22</v>
      </c>
      <c r="L29" s="5">
        <f t="shared" si="0"/>
        <v>0.88</v>
      </c>
      <c r="M29" s="3">
        <f t="shared" si="1"/>
        <v>0.81818181818181823</v>
      </c>
      <c r="N29">
        <f t="shared" si="2"/>
        <v>6500</v>
      </c>
      <c r="O29">
        <f t="shared" si="3"/>
        <v>0</v>
      </c>
      <c r="P29">
        <f t="shared" si="4"/>
        <v>71500</v>
      </c>
      <c r="Q29" s="6" t="str">
        <f t="shared" si="5"/>
        <v>Bonus Eligible</v>
      </c>
    </row>
    <row r="30" spans="1:17" x14ac:dyDescent="0.3">
      <c r="A30" t="s">
        <v>77</v>
      </c>
      <c r="B30" t="s">
        <v>78</v>
      </c>
      <c r="C30" t="s">
        <v>25</v>
      </c>
      <c r="D30" t="s">
        <v>26</v>
      </c>
      <c r="E30">
        <v>10</v>
      </c>
      <c r="F30">
        <v>70000</v>
      </c>
      <c r="G30">
        <v>5</v>
      </c>
      <c r="H30">
        <v>100</v>
      </c>
      <c r="I30">
        <v>89</v>
      </c>
      <c r="J30">
        <v>5</v>
      </c>
      <c r="K30">
        <v>22</v>
      </c>
      <c r="L30" s="5">
        <f t="shared" si="0"/>
        <v>0.89</v>
      </c>
      <c r="M30" s="3">
        <f t="shared" si="1"/>
        <v>0.77272727272727271</v>
      </c>
      <c r="N30">
        <f t="shared" si="2"/>
        <v>7000</v>
      </c>
      <c r="O30">
        <f t="shared" si="3"/>
        <v>0</v>
      </c>
      <c r="P30">
        <f t="shared" si="4"/>
        <v>77000</v>
      </c>
      <c r="Q30" s="6" t="str">
        <f t="shared" si="5"/>
        <v>Bonus Eligible</v>
      </c>
    </row>
    <row r="31" spans="1:17" x14ac:dyDescent="0.3">
      <c r="A31" t="s">
        <v>79</v>
      </c>
      <c r="B31" t="s">
        <v>80</v>
      </c>
      <c r="C31" t="s">
        <v>29</v>
      </c>
      <c r="D31" t="s">
        <v>30</v>
      </c>
      <c r="E31">
        <v>1</v>
      </c>
      <c r="F31">
        <v>25000</v>
      </c>
      <c r="G31">
        <v>1</v>
      </c>
      <c r="H31">
        <v>100</v>
      </c>
      <c r="I31">
        <v>90</v>
      </c>
      <c r="J31">
        <v>6</v>
      </c>
      <c r="K31">
        <v>22</v>
      </c>
      <c r="L31" s="5">
        <f t="shared" si="0"/>
        <v>0.9</v>
      </c>
      <c r="M31" s="3">
        <f t="shared" si="1"/>
        <v>0.72727272727272729</v>
      </c>
      <c r="N31">
        <f t="shared" si="2"/>
        <v>5000</v>
      </c>
      <c r="O31">
        <f t="shared" si="3"/>
        <v>0</v>
      </c>
      <c r="P31">
        <f t="shared" si="4"/>
        <v>30000</v>
      </c>
      <c r="Q31" s="6" t="str">
        <f t="shared" si="5"/>
        <v>Top Performer</v>
      </c>
    </row>
    <row r="32" spans="1:17" x14ac:dyDescent="0.3">
      <c r="A32" t="s">
        <v>81</v>
      </c>
      <c r="B32" t="s">
        <v>82</v>
      </c>
      <c r="C32" t="s">
        <v>13</v>
      </c>
      <c r="D32" t="s">
        <v>14</v>
      </c>
      <c r="E32">
        <v>2</v>
      </c>
      <c r="F32">
        <v>30000</v>
      </c>
      <c r="G32">
        <v>2</v>
      </c>
      <c r="H32">
        <v>100</v>
      </c>
      <c r="I32">
        <v>91</v>
      </c>
      <c r="J32">
        <v>7</v>
      </c>
      <c r="K32">
        <v>22</v>
      </c>
      <c r="L32" s="5">
        <f t="shared" si="0"/>
        <v>0.91</v>
      </c>
      <c r="M32" s="3">
        <f t="shared" si="1"/>
        <v>0.68181818181818177</v>
      </c>
      <c r="N32">
        <f t="shared" si="2"/>
        <v>6000</v>
      </c>
      <c r="O32">
        <f t="shared" si="3"/>
        <v>0</v>
      </c>
      <c r="P32">
        <f t="shared" si="4"/>
        <v>36000</v>
      </c>
      <c r="Q32" s="6" t="str">
        <f t="shared" si="5"/>
        <v>Top Performer</v>
      </c>
    </row>
    <row r="33" spans="1:17" x14ac:dyDescent="0.3">
      <c r="A33" t="s">
        <v>83</v>
      </c>
      <c r="B33" t="s">
        <v>84</v>
      </c>
      <c r="C33" t="s">
        <v>17</v>
      </c>
      <c r="D33" t="s">
        <v>18</v>
      </c>
      <c r="E33">
        <v>3</v>
      </c>
      <c r="F33">
        <v>35000</v>
      </c>
      <c r="G33">
        <v>3</v>
      </c>
      <c r="H33">
        <v>100</v>
      </c>
      <c r="I33">
        <v>92</v>
      </c>
      <c r="J33">
        <v>8</v>
      </c>
      <c r="K33">
        <v>22</v>
      </c>
      <c r="L33" s="5">
        <f t="shared" si="0"/>
        <v>0.92</v>
      </c>
      <c r="M33" s="3">
        <f t="shared" si="1"/>
        <v>0.63636363636363635</v>
      </c>
      <c r="N33">
        <f t="shared" si="2"/>
        <v>7000</v>
      </c>
      <c r="O33">
        <f t="shared" si="3"/>
        <v>0</v>
      </c>
      <c r="P33">
        <f t="shared" si="4"/>
        <v>42000</v>
      </c>
      <c r="Q33" s="6" t="str">
        <f t="shared" si="5"/>
        <v>Top Performer</v>
      </c>
    </row>
    <row r="34" spans="1:17" x14ac:dyDescent="0.3">
      <c r="A34" t="s">
        <v>85</v>
      </c>
      <c r="B34" t="s">
        <v>86</v>
      </c>
      <c r="C34" t="s">
        <v>21</v>
      </c>
      <c r="D34" t="s">
        <v>22</v>
      </c>
      <c r="E34">
        <v>4</v>
      </c>
      <c r="F34">
        <v>40000</v>
      </c>
      <c r="G34">
        <v>4</v>
      </c>
      <c r="H34">
        <v>100</v>
      </c>
      <c r="I34">
        <v>93</v>
      </c>
      <c r="J34">
        <v>9</v>
      </c>
      <c r="K34">
        <v>22</v>
      </c>
      <c r="L34" s="5">
        <f t="shared" si="0"/>
        <v>0.93</v>
      </c>
      <c r="M34" s="3">
        <f t="shared" si="1"/>
        <v>0.59090909090909094</v>
      </c>
      <c r="N34">
        <f t="shared" si="2"/>
        <v>8000</v>
      </c>
      <c r="O34">
        <f t="shared" si="3"/>
        <v>0</v>
      </c>
      <c r="P34">
        <f t="shared" si="4"/>
        <v>48000</v>
      </c>
      <c r="Q34" s="6" t="str">
        <f t="shared" si="5"/>
        <v>Top Performer</v>
      </c>
    </row>
    <row r="35" spans="1:17" x14ac:dyDescent="0.3">
      <c r="A35" t="s">
        <v>87</v>
      </c>
      <c r="B35" t="s">
        <v>88</v>
      </c>
      <c r="C35" t="s">
        <v>25</v>
      </c>
      <c r="D35" t="s">
        <v>26</v>
      </c>
      <c r="E35">
        <v>5</v>
      </c>
      <c r="F35">
        <v>45000</v>
      </c>
      <c r="G35">
        <v>5</v>
      </c>
      <c r="H35">
        <v>100</v>
      </c>
      <c r="I35">
        <v>94</v>
      </c>
      <c r="J35">
        <v>10</v>
      </c>
      <c r="K35">
        <v>22</v>
      </c>
      <c r="L35" s="5">
        <f t="shared" si="0"/>
        <v>0.94</v>
      </c>
      <c r="M35" s="3">
        <f t="shared" si="1"/>
        <v>0.54545454545454541</v>
      </c>
      <c r="N35">
        <f t="shared" si="2"/>
        <v>9000</v>
      </c>
      <c r="O35">
        <f t="shared" si="3"/>
        <v>0</v>
      </c>
      <c r="P35">
        <f t="shared" si="4"/>
        <v>54000</v>
      </c>
      <c r="Q35" s="6" t="str">
        <f t="shared" si="5"/>
        <v>Top Performer</v>
      </c>
    </row>
    <row r="36" spans="1:17" x14ac:dyDescent="0.3">
      <c r="A36" t="s">
        <v>89</v>
      </c>
      <c r="B36" t="s">
        <v>90</v>
      </c>
      <c r="C36" t="s">
        <v>29</v>
      </c>
      <c r="D36" t="s">
        <v>30</v>
      </c>
      <c r="E36">
        <v>6</v>
      </c>
      <c r="F36">
        <v>50000</v>
      </c>
      <c r="G36">
        <v>1</v>
      </c>
      <c r="H36">
        <v>100</v>
      </c>
      <c r="I36">
        <v>95</v>
      </c>
      <c r="J36">
        <v>11</v>
      </c>
      <c r="K36">
        <v>22</v>
      </c>
      <c r="L36" s="5">
        <f t="shared" si="0"/>
        <v>0.95</v>
      </c>
      <c r="M36" s="3">
        <f t="shared" si="1"/>
        <v>0.5</v>
      </c>
      <c r="N36">
        <f t="shared" si="2"/>
        <v>10000</v>
      </c>
      <c r="O36">
        <f t="shared" si="3"/>
        <v>0</v>
      </c>
      <c r="P36">
        <f t="shared" si="4"/>
        <v>60000</v>
      </c>
      <c r="Q36" s="6" t="str">
        <f t="shared" si="5"/>
        <v>Top Performer</v>
      </c>
    </row>
    <row r="37" spans="1:17" x14ac:dyDescent="0.3">
      <c r="A37" t="s">
        <v>91</v>
      </c>
      <c r="B37" t="s">
        <v>92</v>
      </c>
      <c r="C37" t="s">
        <v>13</v>
      </c>
      <c r="D37" t="s">
        <v>14</v>
      </c>
      <c r="E37">
        <v>7</v>
      </c>
      <c r="F37">
        <v>55000</v>
      </c>
      <c r="G37">
        <v>2</v>
      </c>
      <c r="H37">
        <v>100</v>
      </c>
      <c r="I37">
        <v>96</v>
      </c>
      <c r="J37">
        <v>0</v>
      </c>
      <c r="K37">
        <v>22</v>
      </c>
      <c r="L37" s="5">
        <f t="shared" si="0"/>
        <v>0.96</v>
      </c>
      <c r="M37" s="3">
        <f t="shared" si="1"/>
        <v>1</v>
      </c>
      <c r="N37">
        <f t="shared" si="2"/>
        <v>11000</v>
      </c>
      <c r="O37">
        <f t="shared" si="3"/>
        <v>3000</v>
      </c>
      <c r="P37">
        <f t="shared" si="4"/>
        <v>69000</v>
      </c>
      <c r="Q37" s="6" t="str">
        <f t="shared" si="5"/>
        <v>Top Performer</v>
      </c>
    </row>
    <row r="38" spans="1:17" x14ac:dyDescent="0.3">
      <c r="A38" t="s">
        <v>93</v>
      </c>
      <c r="B38" t="s">
        <v>94</v>
      </c>
      <c r="C38" t="s">
        <v>17</v>
      </c>
      <c r="D38" t="s">
        <v>18</v>
      </c>
      <c r="E38">
        <v>8</v>
      </c>
      <c r="F38">
        <v>60000</v>
      </c>
      <c r="G38">
        <v>3</v>
      </c>
      <c r="H38">
        <v>100</v>
      </c>
      <c r="I38">
        <v>97</v>
      </c>
      <c r="J38">
        <v>1</v>
      </c>
      <c r="K38">
        <v>22</v>
      </c>
      <c r="L38" s="5">
        <f t="shared" si="0"/>
        <v>0.97</v>
      </c>
      <c r="M38" s="3">
        <f t="shared" si="1"/>
        <v>0.95454545454545459</v>
      </c>
      <c r="N38">
        <f t="shared" si="2"/>
        <v>12000</v>
      </c>
      <c r="O38">
        <f t="shared" si="3"/>
        <v>3000</v>
      </c>
      <c r="P38">
        <f t="shared" si="4"/>
        <v>75000</v>
      </c>
      <c r="Q38" s="6" t="str">
        <f t="shared" si="5"/>
        <v>Top Performer</v>
      </c>
    </row>
    <row r="39" spans="1:17" x14ac:dyDescent="0.3">
      <c r="A39" t="s">
        <v>95</v>
      </c>
      <c r="B39" t="s">
        <v>96</v>
      </c>
      <c r="C39" t="s">
        <v>21</v>
      </c>
      <c r="D39" t="s">
        <v>22</v>
      </c>
      <c r="E39">
        <v>9</v>
      </c>
      <c r="F39">
        <v>65000</v>
      </c>
      <c r="G39">
        <v>4</v>
      </c>
      <c r="H39">
        <v>100</v>
      </c>
      <c r="I39">
        <v>98</v>
      </c>
      <c r="J39">
        <v>2</v>
      </c>
      <c r="K39">
        <v>22</v>
      </c>
      <c r="L39" s="5">
        <f t="shared" si="0"/>
        <v>0.98</v>
      </c>
      <c r="M39" s="3">
        <f t="shared" si="1"/>
        <v>0.90909090909090906</v>
      </c>
      <c r="N39">
        <f t="shared" si="2"/>
        <v>13000</v>
      </c>
      <c r="O39">
        <f t="shared" si="3"/>
        <v>3000</v>
      </c>
      <c r="P39">
        <f t="shared" si="4"/>
        <v>81000</v>
      </c>
      <c r="Q39" s="6" t="str">
        <f t="shared" si="5"/>
        <v>Top Performer</v>
      </c>
    </row>
    <row r="40" spans="1:17" x14ac:dyDescent="0.3">
      <c r="A40" t="s">
        <v>97</v>
      </c>
      <c r="B40" t="s">
        <v>98</v>
      </c>
      <c r="C40" t="s">
        <v>25</v>
      </c>
      <c r="D40" t="s">
        <v>26</v>
      </c>
      <c r="E40">
        <v>10</v>
      </c>
      <c r="F40">
        <v>70000</v>
      </c>
      <c r="G40">
        <v>5</v>
      </c>
      <c r="H40">
        <v>100</v>
      </c>
      <c r="I40">
        <v>99</v>
      </c>
      <c r="J40">
        <v>3</v>
      </c>
      <c r="K40">
        <v>22</v>
      </c>
      <c r="L40" s="5">
        <f t="shared" si="0"/>
        <v>0.99</v>
      </c>
      <c r="M40" s="3">
        <f t="shared" si="1"/>
        <v>0.86363636363636365</v>
      </c>
      <c r="N40">
        <f t="shared" si="2"/>
        <v>14000</v>
      </c>
      <c r="O40">
        <f t="shared" si="3"/>
        <v>0</v>
      </c>
      <c r="P40">
        <f t="shared" si="4"/>
        <v>84000</v>
      </c>
      <c r="Q40" s="6" t="str">
        <f t="shared" si="5"/>
        <v>Top Performer</v>
      </c>
    </row>
    <row r="41" spans="1:17" x14ac:dyDescent="0.3">
      <c r="A41" t="s">
        <v>99</v>
      </c>
      <c r="B41" t="s">
        <v>100</v>
      </c>
      <c r="C41" t="s">
        <v>29</v>
      </c>
      <c r="D41" t="s">
        <v>30</v>
      </c>
      <c r="E41">
        <v>1</v>
      </c>
      <c r="F41">
        <v>25000</v>
      </c>
      <c r="G41">
        <v>1</v>
      </c>
      <c r="H41">
        <v>100</v>
      </c>
      <c r="I41">
        <v>100</v>
      </c>
      <c r="J41">
        <v>4</v>
      </c>
      <c r="K41">
        <v>22</v>
      </c>
      <c r="L41" s="5">
        <f t="shared" si="0"/>
        <v>1</v>
      </c>
      <c r="M41" s="3">
        <f t="shared" si="1"/>
        <v>0.81818181818181823</v>
      </c>
      <c r="N41">
        <f t="shared" si="2"/>
        <v>5000</v>
      </c>
      <c r="O41">
        <f t="shared" si="3"/>
        <v>0</v>
      </c>
      <c r="P41">
        <f t="shared" si="4"/>
        <v>30000</v>
      </c>
      <c r="Q41" s="6" t="str">
        <f t="shared" si="5"/>
        <v>Top Performer</v>
      </c>
    </row>
    <row r="42" spans="1:17" x14ac:dyDescent="0.3">
      <c r="A42" t="s">
        <v>101</v>
      </c>
      <c r="B42" t="s">
        <v>102</v>
      </c>
      <c r="C42" t="s">
        <v>13</v>
      </c>
      <c r="D42" t="s">
        <v>14</v>
      </c>
      <c r="E42">
        <v>2</v>
      </c>
      <c r="F42">
        <v>30000</v>
      </c>
      <c r="G42">
        <v>2</v>
      </c>
      <c r="H42">
        <v>100</v>
      </c>
      <c r="I42">
        <v>60</v>
      </c>
      <c r="J42">
        <v>5</v>
      </c>
      <c r="K42">
        <v>22</v>
      </c>
      <c r="L42" s="5">
        <f t="shared" si="0"/>
        <v>0.6</v>
      </c>
      <c r="M42" s="3">
        <f t="shared" si="1"/>
        <v>0.77272727272727271</v>
      </c>
      <c r="N42">
        <f t="shared" si="2"/>
        <v>1500</v>
      </c>
      <c r="O42">
        <f t="shared" si="3"/>
        <v>0</v>
      </c>
      <c r="P42">
        <f t="shared" si="4"/>
        <v>31500</v>
      </c>
      <c r="Q42" s="6" t="str">
        <f t="shared" si="5"/>
        <v>Bonus Eligible</v>
      </c>
    </row>
    <row r="43" spans="1:17" x14ac:dyDescent="0.3">
      <c r="A43" t="s">
        <v>103</v>
      </c>
      <c r="B43" t="s">
        <v>104</v>
      </c>
      <c r="C43" t="s">
        <v>17</v>
      </c>
      <c r="D43" t="s">
        <v>18</v>
      </c>
      <c r="E43">
        <v>3</v>
      </c>
      <c r="F43">
        <v>35000</v>
      </c>
      <c r="G43">
        <v>3</v>
      </c>
      <c r="H43">
        <v>100</v>
      </c>
      <c r="I43">
        <v>61</v>
      </c>
      <c r="J43">
        <v>6</v>
      </c>
      <c r="K43">
        <v>22</v>
      </c>
      <c r="L43" s="5">
        <f t="shared" si="0"/>
        <v>0.61</v>
      </c>
      <c r="M43" s="3">
        <f t="shared" si="1"/>
        <v>0.72727272727272729</v>
      </c>
      <c r="N43">
        <f t="shared" si="2"/>
        <v>1750</v>
      </c>
      <c r="O43">
        <f t="shared" si="3"/>
        <v>0</v>
      </c>
      <c r="P43">
        <f t="shared" si="4"/>
        <v>36750</v>
      </c>
      <c r="Q43" s="6" t="str">
        <f t="shared" si="5"/>
        <v>Bonus Eligible</v>
      </c>
    </row>
    <row r="44" spans="1:17" x14ac:dyDescent="0.3">
      <c r="A44" t="s">
        <v>105</v>
      </c>
      <c r="B44" t="s">
        <v>106</v>
      </c>
      <c r="C44" t="s">
        <v>21</v>
      </c>
      <c r="D44" t="s">
        <v>22</v>
      </c>
      <c r="E44">
        <v>4</v>
      </c>
      <c r="F44">
        <v>40000</v>
      </c>
      <c r="G44">
        <v>4</v>
      </c>
      <c r="H44">
        <v>100</v>
      </c>
      <c r="I44">
        <v>62</v>
      </c>
      <c r="J44">
        <v>7</v>
      </c>
      <c r="K44">
        <v>22</v>
      </c>
      <c r="L44" s="5">
        <f t="shared" si="0"/>
        <v>0.62</v>
      </c>
      <c r="M44" s="3">
        <f t="shared" si="1"/>
        <v>0.68181818181818177</v>
      </c>
      <c r="N44">
        <f t="shared" si="2"/>
        <v>2000</v>
      </c>
      <c r="O44">
        <f t="shared" si="3"/>
        <v>0</v>
      </c>
      <c r="P44">
        <f t="shared" si="4"/>
        <v>42000</v>
      </c>
      <c r="Q44" s="6" t="str">
        <f t="shared" si="5"/>
        <v>Bonus Eligible</v>
      </c>
    </row>
    <row r="45" spans="1:17" x14ac:dyDescent="0.3">
      <c r="A45" t="s">
        <v>107</v>
      </c>
      <c r="B45" t="s">
        <v>108</v>
      </c>
      <c r="C45" t="s">
        <v>25</v>
      </c>
      <c r="D45" t="s">
        <v>26</v>
      </c>
      <c r="E45">
        <v>5</v>
      </c>
      <c r="F45">
        <v>45000</v>
      </c>
      <c r="G45">
        <v>5</v>
      </c>
      <c r="H45">
        <v>100</v>
      </c>
      <c r="I45">
        <v>63</v>
      </c>
      <c r="J45">
        <v>8</v>
      </c>
      <c r="K45">
        <v>22</v>
      </c>
      <c r="L45" s="5">
        <f t="shared" si="0"/>
        <v>0.63</v>
      </c>
      <c r="M45" s="3">
        <f t="shared" si="1"/>
        <v>0.63636363636363635</v>
      </c>
      <c r="N45">
        <f t="shared" si="2"/>
        <v>2250</v>
      </c>
      <c r="O45">
        <f t="shared" si="3"/>
        <v>0</v>
      </c>
      <c r="P45">
        <f t="shared" si="4"/>
        <v>47250</v>
      </c>
      <c r="Q45" s="6" t="str">
        <f t="shared" si="5"/>
        <v>Bonus Eligible</v>
      </c>
    </row>
    <row r="46" spans="1:17" x14ac:dyDescent="0.3">
      <c r="A46" t="s">
        <v>109</v>
      </c>
      <c r="B46" t="s">
        <v>110</v>
      </c>
      <c r="C46" t="s">
        <v>29</v>
      </c>
      <c r="D46" t="s">
        <v>30</v>
      </c>
      <c r="E46">
        <v>6</v>
      </c>
      <c r="F46">
        <v>50000</v>
      </c>
      <c r="G46">
        <v>1</v>
      </c>
      <c r="H46">
        <v>100</v>
      </c>
      <c r="I46">
        <v>64</v>
      </c>
      <c r="J46">
        <v>9</v>
      </c>
      <c r="K46">
        <v>22</v>
      </c>
      <c r="L46" s="5">
        <f t="shared" si="0"/>
        <v>0.64</v>
      </c>
      <c r="M46" s="3">
        <f t="shared" si="1"/>
        <v>0.59090909090909094</v>
      </c>
      <c r="N46">
        <f t="shared" si="2"/>
        <v>2500</v>
      </c>
      <c r="O46">
        <f t="shared" si="3"/>
        <v>0</v>
      </c>
      <c r="P46">
        <f t="shared" si="4"/>
        <v>52500</v>
      </c>
      <c r="Q46" s="6" t="str">
        <f t="shared" si="5"/>
        <v>Bonus Eligible</v>
      </c>
    </row>
    <row r="47" spans="1:17" x14ac:dyDescent="0.3">
      <c r="A47" t="s">
        <v>111</v>
      </c>
      <c r="B47" t="s">
        <v>112</v>
      </c>
      <c r="C47" t="s">
        <v>13</v>
      </c>
      <c r="D47" t="s">
        <v>14</v>
      </c>
      <c r="E47">
        <v>7</v>
      </c>
      <c r="F47">
        <v>55000</v>
      </c>
      <c r="G47">
        <v>2</v>
      </c>
      <c r="H47">
        <v>100</v>
      </c>
      <c r="I47">
        <v>65</v>
      </c>
      <c r="J47">
        <v>10</v>
      </c>
      <c r="K47">
        <v>22</v>
      </c>
      <c r="L47" s="5">
        <f t="shared" si="0"/>
        <v>0.65</v>
      </c>
      <c r="M47" s="3">
        <f t="shared" si="1"/>
        <v>0.54545454545454541</v>
      </c>
      <c r="N47">
        <f t="shared" si="2"/>
        <v>2750</v>
      </c>
      <c r="O47">
        <f t="shared" si="3"/>
        <v>0</v>
      </c>
      <c r="P47">
        <f t="shared" si="4"/>
        <v>57750</v>
      </c>
      <c r="Q47" s="6" t="str">
        <f t="shared" si="5"/>
        <v>Bonus Eligible</v>
      </c>
    </row>
    <row r="48" spans="1:17" x14ac:dyDescent="0.3">
      <c r="A48" t="s">
        <v>113</v>
      </c>
      <c r="B48" t="s">
        <v>114</v>
      </c>
      <c r="C48" t="s">
        <v>17</v>
      </c>
      <c r="D48" t="s">
        <v>18</v>
      </c>
      <c r="E48">
        <v>8</v>
      </c>
      <c r="F48">
        <v>60000</v>
      </c>
      <c r="G48">
        <v>3</v>
      </c>
      <c r="H48">
        <v>100</v>
      </c>
      <c r="I48">
        <v>66</v>
      </c>
      <c r="J48">
        <v>11</v>
      </c>
      <c r="K48">
        <v>22</v>
      </c>
      <c r="L48" s="5">
        <f t="shared" si="0"/>
        <v>0.66</v>
      </c>
      <c r="M48" s="3">
        <f t="shared" si="1"/>
        <v>0.5</v>
      </c>
      <c r="N48">
        <f t="shared" si="2"/>
        <v>3000</v>
      </c>
      <c r="O48">
        <f t="shared" si="3"/>
        <v>0</v>
      </c>
      <c r="P48">
        <f t="shared" si="4"/>
        <v>63000</v>
      </c>
      <c r="Q48" s="6" t="str">
        <f t="shared" si="5"/>
        <v>Bonus Eligible</v>
      </c>
    </row>
    <row r="49" spans="1:17" x14ac:dyDescent="0.3">
      <c r="A49" t="s">
        <v>115</v>
      </c>
      <c r="B49" t="s">
        <v>116</v>
      </c>
      <c r="C49" t="s">
        <v>21</v>
      </c>
      <c r="D49" t="s">
        <v>22</v>
      </c>
      <c r="E49">
        <v>9</v>
      </c>
      <c r="F49">
        <v>65000</v>
      </c>
      <c r="G49">
        <v>4</v>
      </c>
      <c r="H49">
        <v>100</v>
      </c>
      <c r="I49">
        <v>67</v>
      </c>
      <c r="J49">
        <v>0</v>
      </c>
      <c r="K49">
        <v>22</v>
      </c>
      <c r="L49" s="5">
        <f t="shared" si="0"/>
        <v>0.67</v>
      </c>
      <c r="M49" s="3">
        <f t="shared" si="1"/>
        <v>1</v>
      </c>
      <c r="N49">
        <f t="shared" si="2"/>
        <v>3250</v>
      </c>
      <c r="O49">
        <f t="shared" si="3"/>
        <v>0</v>
      </c>
      <c r="P49">
        <f t="shared" si="4"/>
        <v>68250</v>
      </c>
      <c r="Q49" s="6" t="str">
        <f t="shared" si="5"/>
        <v>Bonus Eligible</v>
      </c>
    </row>
    <row r="50" spans="1:17" x14ac:dyDescent="0.3">
      <c r="A50" t="s">
        <v>117</v>
      </c>
      <c r="B50" t="s">
        <v>118</v>
      </c>
      <c r="C50" t="s">
        <v>25</v>
      </c>
      <c r="D50" t="s">
        <v>26</v>
      </c>
      <c r="E50">
        <v>10</v>
      </c>
      <c r="F50">
        <v>70000</v>
      </c>
      <c r="G50">
        <v>5</v>
      </c>
      <c r="H50">
        <v>100</v>
      </c>
      <c r="I50">
        <v>68</v>
      </c>
      <c r="J50">
        <v>1</v>
      </c>
      <c r="K50">
        <v>22</v>
      </c>
      <c r="L50" s="5">
        <f t="shared" si="0"/>
        <v>0.68</v>
      </c>
      <c r="M50" s="3">
        <f t="shared" si="1"/>
        <v>0.95454545454545459</v>
      </c>
      <c r="N50">
        <f t="shared" si="2"/>
        <v>3500</v>
      </c>
      <c r="O50">
        <f t="shared" si="3"/>
        <v>0</v>
      </c>
      <c r="P50">
        <f t="shared" si="4"/>
        <v>73500</v>
      </c>
      <c r="Q50" s="6" t="str">
        <f t="shared" si="5"/>
        <v>Bonus Eligible</v>
      </c>
    </row>
    <row r="51" spans="1:17" x14ac:dyDescent="0.3">
      <c r="A51" t="s">
        <v>119</v>
      </c>
      <c r="B51" t="s">
        <v>120</v>
      </c>
      <c r="C51" t="s">
        <v>29</v>
      </c>
      <c r="D51" t="s">
        <v>30</v>
      </c>
      <c r="E51">
        <v>1</v>
      </c>
      <c r="F51">
        <v>25000</v>
      </c>
      <c r="G51">
        <v>1</v>
      </c>
      <c r="H51">
        <v>100</v>
      </c>
      <c r="I51">
        <v>69</v>
      </c>
      <c r="J51">
        <v>2</v>
      </c>
      <c r="K51">
        <v>22</v>
      </c>
      <c r="L51" s="5">
        <f t="shared" si="0"/>
        <v>0.69</v>
      </c>
      <c r="M51" s="3">
        <f t="shared" si="1"/>
        <v>0.90909090909090906</v>
      </c>
      <c r="N51">
        <f t="shared" si="2"/>
        <v>1250</v>
      </c>
      <c r="O51">
        <f t="shared" si="3"/>
        <v>0</v>
      </c>
      <c r="P51">
        <f t="shared" si="4"/>
        <v>26250</v>
      </c>
      <c r="Q51" s="6" t="str">
        <f t="shared" si="5"/>
        <v>Bonus Eligible</v>
      </c>
    </row>
  </sheetData>
  <conditionalFormatting sqref="Q2:Q51">
    <cfRule type="containsText" dxfId="6" priority="1" operator="containsText" text="no reward">
      <formula>NOT(ISERROR(SEARCH("no reward",Q2)))</formula>
    </cfRule>
    <cfRule type="cellIs" priority="2" operator="between">
      <formula>$Q$23</formula>
      <formula>$Q$51</formula>
    </cfRule>
    <cfRule type="containsText" dxfId="5" priority="3" operator="containsText" text="No Reward">
      <formula>NOT(ISERROR(SEARCH("No Reward",Q2)))</formula>
    </cfRule>
    <cfRule type="containsText" dxfId="4" priority="4" operator="containsText" text="bonus eligible">
      <formula>NOT(ISERROR(SEARCH("bonus eligible",Q2)))</formula>
    </cfRule>
    <cfRule type="containsText" dxfId="3" priority="5" operator="containsText" text="top performer">
      <formula>NOT(ISERROR(SEARCH("top performer",Q2)))</formula>
    </cfRule>
    <cfRule type="containsText" dxfId="2" priority="7" operator="containsText" text="top performer">
      <formula>NOT(ISERROR(SEARCH("top performer",Q2)))</formula>
    </cfRule>
    <cfRule type="containsText" dxfId="1" priority="8" operator="containsText" text="top performer">
      <formula>NOT(ISERROR(SEARCH("top performer",Q2)))</formula>
    </cfRule>
  </conditionalFormatting>
  <conditionalFormatting sqref="Q31:Q41">
    <cfRule type="containsText" dxfId="0" priority="6" operator="containsText" text="top performer">
      <formula>NOT(ISERROR(SEARCH("top performer",Q31)))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729C-F230-445B-BB4B-8A8003765C7B}">
  <dimension ref="A3:C39"/>
  <sheetViews>
    <sheetView tabSelected="1" topLeftCell="A10" workbookViewId="0">
      <selection activeCell="K13" sqref="K13"/>
    </sheetView>
  </sheetViews>
  <sheetFormatPr defaultRowHeight="14.4" x14ac:dyDescent="0.3"/>
  <cols>
    <col min="1" max="1" width="14.109375" bestFit="1" customWidth="1"/>
    <col min="2" max="2" width="22.5546875" bestFit="1" customWidth="1"/>
    <col min="3" max="3" width="20.21875" bestFit="1" customWidth="1"/>
  </cols>
  <sheetData>
    <row r="3" spans="1:3" x14ac:dyDescent="0.3">
      <c r="A3" s="7" t="s">
        <v>130</v>
      </c>
      <c r="B3" t="s">
        <v>128</v>
      </c>
      <c r="C3" t="s">
        <v>129</v>
      </c>
    </row>
    <row r="4" spans="1:3" x14ac:dyDescent="0.3">
      <c r="A4" s="8" t="s">
        <v>21</v>
      </c>
      <c r="B4" s="9">
        <v>0.77299999999999991</v>
      </c>
      <c r="C4">
        <v>57850</v>
      </c>
    </row>
    <row r="5" spans="1:3" x14ac:dyDescent="0.3">
      <c r="A5" s="8" t="s">
        <v>13</v>
      </c>
      <c r="B5" s="9">
        <v>0.753</v>
      </c>
      <c r="C5">
        <v>47200</v>
      </c>
    </row>
    <row r="6" spans="1:3" x14ac:dyDescent="0.3">
      <c r="A6" s="8" t="s">
        <v>29</v>
      </c>
      <c r="B6" s="9">
        <v>0.74299999999999999</v>
      </c>
      <c r="C6">
        <v>40875</v>
      </c>
    </row>
    <row r="7" spans="1:3" x14ac:dyDescent="0.3">
      <c r="A7" s="8" t="s">
        <v>25</v>
      </c>
      <c r="B7" s="9">
        <v>0.78299999999999992</v>
      </c>
      <c r="C7">
        <v>63025</v>
      </c>
    </row>
    <row r="8" spans="1:3" x14ac:dyDescent="0.3">
      <c r="A8" s="8" t="s">
        <v>17</v>
      </c>
      <c r="B8" s="9">
        <v>0.73599999999999999</v>
      </c>
      <c r="C8">
        <v>52075</v>
      </c>
    </row>
    <row r="9" spans="1:3" x14ac:dyDescent="0.3">
      <c r="A9" s="10" t="s">
        <v>127</v>
      </c>
      <c r="B9" s="11">
        <v>0.75760000000000005</v>
      </c>
      <c r="C9" s="12">
        <v>52205</v>
      </c>
    </row>
    <row r="12" spans="1:3" x14ac:dyDescent="0.3">
      <c r="A12" s="7" t="s">
        <v>135</v>
      </c>
      <c r="B12" t="s">
        <v>134</v>
      </c>
    </row>
    <row r="13" spans="1:3" x14ac:dyDescent="0.3">
      <c r="A13" s="8" t="s">
        <v>131</v>
      </c>
      <c r="B13">
        <v>36</v>
      </c>
    </row>
    <row r="14" spans="1:3" x14ac:dyDescent="0.3">
      <c r="A14" s="8" t="s">
        <v>132</v>
      </c>
      <c r="B14">
        <v>3</v>
      </c>
    </row>
    <row r="15" spans="1:3" x14ac:dyDescent="0.3">
      <c r="A15" s="8" t="s">
        <v>133</v>
      </c>
      <c r="B15">
        <v>11</v>
      </c>
    </row>
    <row r="16" spans="1:3" x14ac:dyDescent="0.3">
      <c r="A16" s="10" t="s">
        <v>127</v>
      </c>
      <c r="B16" s="12">
        <v>50</v>
      </c>
    </row>
    <row r="19" spans="1:2" x14ac:dyDescent="0.3">
      <c r="A19" s="13" t="s">
        <v>130</v>
      </c>
      <c r="B19" t="s">
        <v>136</v>
      </c>
    </row>
    <row r="20" spans="1:2" x14ac:dyDescent="0.3">
      <c r="A20" s="8" t="s">
        <v>21</v>
      </c>
      <c r="B20">
        <v>50500</v>
      </c>
    </row>
    <row r="21" spans="1:2" x14ac:dyDescent="0.3">
      <c r="A21" s="8" t="s">
        <v>13</v>
      </c>
      <c r="B21">
        <v>41000</v>
      </c>
    </row>
    <row r="22" spans="1:2" x14ac:dyDescent="0.3">
      <c r="A22" s="8" t="s">
        <v>29</v>
      </c>
      <c r="B22">
        <v>33750</v>
      </c>
    </row>
    <row r="23" spans="1:2" x14ac:dyDescent="0.3">
      <c r="A23" s="8" t="s">
        <v>25</v>
      </c>
      <c r="B23">
        <v>55250</v>
      </c>
    </row>
    <row r="24" spans="1:2" x14ac:dyDescent="0.3">
      <c r="A24" s="10" t="s">
        <v>17</v>
      </c>
      <c r="B24">
        <v>42750</v>
      </c>
    </row>
    <row r="25" spans="1:2" x14ac:dyDescent="0.3">
      <c r="A25" s="10" t="s">
        <v>127</v>
      </c>
      <c r="B25" s="12">
        <v>223250</v>
      </c>
    </row>
    <row r="28" spans="1:2" x14ac:dyDescent="0.3">
      <c r="A28" s="7" t="s">
        <v>138</v>
      </c>
      <c r="B28" t="s">
        <v>137</v>
      </c>
    </row>
    <row r="29" spans="1:2" x14ac:dyDescent="0.3">
      <c r="A29" s="8" t="s">
        <v>131</v>
      </c>
      <c r="B29" s="3">
        <v>0.76262626262626265</v>
      </c>
    </row>
    <row r="30" spans="1:2" x14ac:dyDescent="0.3">
      <c r="A30" s="8" t="s">
        <v>132</v>
      </c>
      <c r="B30" s="3">
        <v>0.72727272727272718</v>
      </c>
    </row>
    <row r="31" spans="1:2" x14ac:dyDescent="0.3">
      <c r="A31" s="8" t="s">
        <v>133</v>
      </c>
      <c r="B31" s="3">
        <v>0.74793388429752061</v>
      </c>
    </row>
    <row r="32" spans="1:2" x14ac:dyDescent="0.3">
      <c r="A32" s="10" t="s">
        <v>127</v>
      </c>
      <c r="B32" s="14">
        <v>0.75727272727272743</v>
      </c>
    </row>
    <row r="35" spans="1:2" x14ac:dyDescent="0.3">
      <c r="A35" s="7" t="s">
        <v>138</v>
      </c>
      <c r="B35" t="s">
        <v>137</v>
      </c>
    </row>
    <row r="36" spans="1:2" x14ac:dyDescent="0.3">
      <c r="A36" s="8" t="s">
        <v>131</v>
      </c>
      <c r="B36" s="3">
        <v>0.76262626262626265</v>
      </c>
    </row>
    <row r="37" spans="1:2" x14ac:dyDescent="0.3">
      <c r="A37" s="8" t="s">
        <v>132</v>
      </c>
      <c r="B37" s="3">
        <v>0.72727272727272718</v>
      </c>
    </row>
    <row r="38" spans="1:2" x14ac:dyDescent="0.3">
      <c r="A38" s="8" t="s">
        <v>133</v>
      </c>
      <c r="B38" s="3">
        <v>0.74793388429752061</v>
      </c>
    </row>
    <row r="39" spans="1:2" x14ac:dyDescent="0.3">
      <c r="A39" s="10" t="s">
        <v>127</v>
      </c>
      <c r="B39" s="14">
        <v>0.75727272727272743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Aasiya Shaikh</cp:lastModifiedBy>
  <dcterms:created xsi:type="dcterms:W3CDTF">2026-01-29T06:33:01Z</dcterms:created>
  <dcterms:modified xsi:type="dcterms:W3CDTF">2026-01-29T08:16:27Z</dcterms:modified>
</cp:coreProperties>
</file>